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TEX\Análisis\Maestros Webs\"/>
    </mc:Choice>
  </mc:AlternateContent>
  <xr:revisionPtr revIDLastSave="0" documentId="13_ncr:1_{D1912E60-B601-45ED-9FFB-2AC518C8A151}" xr6:coauthVersionLast="47" xr6:coauthVersionMax="47" xr10:uidLastSave="{00000000-0000-0000-0000-000000000000}"/>
  <bookViews>
    <workbookView xWindow="-120" yWindow="-120" windowWidth="29040" windowHeight="15720" tabRatio="541" activeTab="1" xr2:uid="{DA687D4E-8643-4C3D-B93D-43A71E0AFB3A}"/>
  </bookViews>
  <sheets>
    <sheet name="Hoja3" sheetId="3" r:id="rId1"/>
    <sheet name="Hoja1" sheetId="1" r:id="rId2"/>
    <sheet name="Hoja2" sheetId="2" r:id="rId3"/>
  </sheets>
  <definedNames>
    <definedName name="_xlnm._FilterDatabase" localSheetId="1" hidden="1">Hoja1!$A$1:$U$725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8" i="1" l="1"/>
  <c r="H524" i="1"/>
  <c r="H119" i="1"/>
  <c r="H121" i="1"/>
  <c r="H123" i="1"/>
  <c r="H124" i="1"/>
  <c r="H125" i="1"/>
  <c r="H686" i="1"/>
  <c r="H692" i="1"/>
  <c r="H682" i="1"/>
  <c r="H458" i="1"/>
  <c r="H464" i="1"/>
  <c r="H131" i="1"/>
  <c r="H137" i="1"/>
  <c r="H143" i="1"/>
  <c r="H145" i="1"/>
  <c r="H146" i="1"/>
  <c r="I146" i="1" s="1"/>
  <c r="H147" i="1"/>
  <c r="I147" i="1" s="1"/>
  <c r="H148" i="1"/>
  <c r="H149" i="1"/>
  <c r="I149" i="1" s="1"/>
  <c r="H150" i="1"/>
  <c r="H151" i="1"/>
  <c r="I151" i="1" s="1"/>
  <c r="H152" i="1"/>
  <c r="I152" i="1" s="1"/>
  <c r="H153" i="1"/>
  <c r="H154" i="1"/>
  <c r="I154" i="1" s="1"/>
  <c r="H155" i="1"/>
  <c r="I155" i="1" s="1"/>
  <c r="H156" i="1"/>
  <c r="H157" i="1"/>
  <c r="H158" i="1"/>
  <c r="I158" i="1" s="1"/>
  <c r="H159" i="1"/>
  <c r="I159" i="1" s="1"/>
  <c r="H160" i="1"/>
  <c r="H161" i="1"/>
  <c r="I161" i="1" s="1"/>
  <c r="H162" i="1"/>
  <c r="H163" i="1"/>
  <c r="I163" i="1" s="1"/>
  <c r="H164" i="1"/>
  <c r="I164" i="1" s="1"/>
  <c r="H165" i="1"/>
  <c r="H166" i="1"/>
  <c r="I166" i="1" s="1"/>
  <c r="H167" i="1"/>
  <c r="I167" i="1" s="1"/>
  <c r="H168" i="1"/>
  <c r="H169" i="1"/>
  <c r="H170" i="1"/>
  <c r="I170" i="1" s="1"/>
  <c r="H171" i="1"/>
  <c r="I171" i="1" s="1"/>
  <c r="H172" i="1"/>
  <c r="H173" i="1"/>
  <c r="I173" i="1" s="1"/>
  <c r="H174" i="1"/>
  <c r="I174" i="1" s="1"/>
  <c r="H175" i="1"/>
  <c r="I175" i="1" s="1"/>
  <c r="H176" i="1"/>
  <c r="I176" i="1" s="1"/>
  <c r="H439" i="1"/>
  <c r="H440" i="1"/>
  <c r="H446" i="1"/>
  <c r="H452" i="1"/>
  <c r="H264" i="1"/>
  <c r="H269" i="1"/>
  <c r="H270" i="1"/>
  <c r="H486" i="1"/>
  <c r="H492" i="1"/>
  <c r="H32" i="1"/>
  <c r="H33" i="1"/>
  <c r="H37" i="1"/>
  <c r="H38" i="1"/>
  <c r="H44" i="1"/>
  <c r="H45" i="1"/>
  <c r="H590" i="1"/>
  <c r="H596" i="1"/>
  <c r="H61" i="1"/>
  <c r="H62" i="1"/>
  <c r="H68" i="1"/>
  <c r="H69" i="1"/>
  <c r="H3" i="1"/>
  <c r="H9" i="1"/>
  <c r="H13" i="1"/>
  <c r="H14" i="1"/>
  <c r="H15" i="1"/>
  <c r="H397" i="1"/>
  <c r="H402" i="1"/>
  <c r="H403" i="1"/>
  <c r="H409" i="1"/>
  <c r="H249" i="1"/>
  <c r="H250" i="1"/>
  <c r="H251" i="1"/>
  <c r="H257" i="1"/>
  <c r="H659" i="1"/>
  <c r="H665" i="1"/>
  <c r="H205" i="1"/>
  <c r="H206" i="1"/>
  <c r="H213" i="1"/>
  <c r="H214" i="1"/>
  <c r="H216" i="1"/>
  <c r="H217" i="1"/>
  <c r="H288" i="1"/>
  <c r="H289" i="1"/>
  <c r="I289" i="1" s="1"/>
  <c r="H290" i="1"/>
  <c r="H291" i="1"/>
  <c r="H292" i="1"/>
  <c r="I292" i="1" s="1"/>
  <c r="H293" i="1"/>
  <c r="I293" i="1" s="1"/>
  <c r="H294" i="1"/>
  <c r="I294" i="1" s="1"/>
  <c r="H295" i="1"/>
  <c r="H296" i="1"/>
  <c r="I296" i="1" s="1"/>
  <c r="H297" i="1"/>
  <c r="I297" i="1" s="1"/>
  <c r="H298" i="1"/>
  <c r="I298" i="1" s="1"/>
  <c r="H299" i="1"/>
  <c r="H300" i="1"/>
  <c r="H301" i="1"/>
  <c r="I301" i="1" s="1"/>
  <c r="H302" i="1"/>
  <c r="I302" i="1" s="1"/>
  <c r="H303" i="1"/>
  <c r="H304" i="1"/>
  <c r="I304" i="1" s="1"/>
  <c r="H305" i="1"/>
  <c r="I305" i="1" s="1"/>
  <c r="H306" i="1"/>
  <c r="H307" i="1"/>
  <c r="H308" i="1"/>
  <c r="H309" i="1"/>
  <c r="I309" i="1" s="1"/>
  <c r="H310" i="1"/>
  <c r="I310" i="1" s="1"/>
  <c r="H311" i="1"/>
  <c r="H312" i="1"/>
  <c r="H313" i="1"/>
  <c r="H314" i="1"/>
  <c r="H315" i="1"/>
  <c r="I315" i="1" s="1"/>
  <c r="H618" i="1"/>
  <c r="H624" i="1"/>
  <c r="H353" i="1"/>
  <c r="H365" i="1"/>
  <c r="H87" i="1"/>
  <c r="H93" i="1"/>
  <c r="H97" i="1"/>
  <c r="H98" i="1"/>
  <c r="H99" i="1"/>
  <c r="H366" i="1"/>
  <c r="H367" i="1"/>
  <c r="I367" i="1" s="1"/>
  <c r="H368" i="1"/>
  <c r="H369" i="1"/>
  <c r="I369" i="1" s="1"/>
  <c r="H370" i="1"/>
  <c r="I370" i="1" s="1"/>
  <c r="H371" i="1"/>
  <c r="I371" i="1" s="1"/>
  <c r="H372" i="1"/>
  <c r="I372" i="1" s="1"/>
  <c r="H373" i="1"/>
  <c r="H374" i="1"/>
  <c r="I374" i="1" s="1"/>
  <c r="H375" i="1"/>
  <c r="I375" i="1" s="1"/>
  <c r="H376" i="1"/>
  <c r="I376" i="1" s="1"/>
  <c r="H377" i="1"/>
  <c r="H378" i="1"/>
  <c r="H379" i="1"/>
  <c r="H380" i="1"/>
  <c r="I380" i="1" s="1"/>
  <c r="H381" i="1"/>
  <c r="H382" i="1"/>
  <c r="I382" i="1" s="1"/>
  <c r="H383" i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H390" i="1"/>
  <c r="H391" i="1"/>
  <c r="I391" i="1" s="1"/>
  <c r="H392" i="1"/>
  <c r="I392" i="1" s="1"/>
  <c r="H393" i="1"/>
  <c r="I393" i="1" s="1"/>
  <c r="H424" i="1"/>
  <c r="H429" i="1"/>
  <c r="H177" i="1"/>
  <c r="H178" i="1"/>
  <c r="H179" i="1"/>
  <c r="H185" i="1"/>
  <c r="H189" i="1"/>
  <c r="H190" i="1"/>
  <c r="H642" i="1"/>
  <c r="H648" i="1"/>
  <c r="H654" i="1"/>
  <c r="H22" i="1"/>
  <c r="I22" i="1" s="1"/>
  <c r="H25" i="1"/>
  <c r="H26" i="1"/>
  <c r="H27" i="1"/>
  <c r="H28" i="1"/>
  <c r="H602" i="1"/>
  <c r="H608" i="1"/>
  <c r="H512" i="1"/>
  <c r="H49" i="1"/>
  <c r="H50" i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H704" i="1"/>
  <c r="I704" i="1" s="1"/>
  <c r="H705" i="1"/>
  <c r="I705" i="1" s="1"/>
  <c r="H706" i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H715" i="1"/>
  <c r="H716" i="1"/>
  <c r="H717" i="1"/>
  <c r="I717" i="1" s="1"/>
  <c r="H718" i="1"/>
  <c r="I718" i="1" s="1"/>
  <c r="H719" i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H551" i="1"/>
  <c r="I551" i="1" s="1"/>
  <c r="H552" i="1"/>
  <c r="H553" i="1"/>
  <c r="I553" i="1" s="1"/>
  <c r="I148" i="1"/>
  <c r="I156" i="1"/>
  <c r="I157" i="1"/>
  <c r="I160" i="1"/>
  <c r="I165" i="1"/>
  <c r="I168" i="1"/>
  <c r="I169" i="1"/>
  <c r="I172" i="1"/>
  <c r="I288" i="1"/>
  <c r="I290" i="1"/>
  <c r="I295" i="1"/>
  <c r="I299" i="1"/>
  <c r="I300" i="1"/>
  <c r="I303" i="1"/>
  <c r="I308" i="1"/>
  <c r="I311" i="1"/>
  <c r="I312" i="1"/>
  <c r="I313" i="1"/>
  <c r="I314" i="1"/>
  <c r="I366" i="1"/>
  <c r="I368" i="1"/>
  <c r="I373" i="1"/>
  <c r="I377" i="1"/>
  <c r="I378" i="1"/>
  <c r="I379" i="1"/>
  <c r="I381" i="1"/>
  <c r="I383" i="1"/>
  <c r="I390" i="1"/>
  <c r="I716" i="1"/>
  <c r="I145" i="1"/>
  <c r="I153" i="1"/>
  <c r="I291" i="1"/>
  <c r="I389" i="1"/>
  <c r="I150" i="1"/>
  <c r="I162" i="1"/>
  <c r="I703" i="1"/>
  <c r="I706" i="1"/>
  <c r="I715" i="1"/>
  <c r="I550" i="1"/>
  <c r="H554" i="1"/>
  <c r="H555" i="1"/>
  <c r="I555" i="1" s="1"/>
  <c r="H556" i="1"/>
  <c r="I556" i="1" s="1"/>
  <c r="H557" i="1"/>
  <c r="I557" i="1" s="1"/>
  <c r="I306" i="1"/>
  <c r="I307" i="1"/>
  <c r="I714" i="1"/>
  <c r="I552" i="1"/>
  <c r="I554" i="1"/>
  <c r="I719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G10" i="1"/>
  <c r="G11" i="1"/>
  <c r="H11" i="1" s="1"/>
  <c r="G12" i="1"/>
  <c r="G13" i="1"/>
  <c r="G14" i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G26" i="1"/>
  <c r="G27" i="1"/>
  <c r="G28" i="1"/>
  <c r="G29" i="1"/>
  <c r="H29" i="1" s="1"/>
  <c r="G30" i="1"/>
  <c r="H30" i="1" s="1"/>
  <c r="G31" i="1"/>
  <c r="H31" i="1" s="1"/>
  <c r="G32" i="1"/>
  <c r="G33" i="1"/>
  <c r="G34" i="1"/>
  <c r="H34" i="1" s="1"/>
  <c r="G35" i="1"/>
  <c r="H35" i="1" s="1"/>
  <c r="G36" i="1"/>
  <c r="H36" i="1" s="1"/>
  <c r="G37" i="1"/>
  <c r="G38" i="1"/>
  <c r="G39" i="1"/>
  <c r="H39" i="1" s="1"/>
  <c r="G40" i="1"/>
  <c r="G41" i="1"/>
  <c r="H41" i="1" s="1"/>
  <c r="G42" i="1"/>
  <c r="H42" i="1" s="1"/>
  <c r="G43" i="1"/>
  <c r="H43" i="1" s="1"/>
  <c r="G44" i="1"/>
  <c r="G45" i="1"/>
  <c r="G46" i="1"/>
  <c r="H46" i="1" s="1"/>
  <c r="G47" i="1"/>
  <c r="H47" i="1" s="1"/>
  <c r="G48" i="1"/>
  <c r="H48" i="1" s="1"/>
  <c r="G49" i="1"/>
  <c r="G50" i="1"/>
  <c r="G51" i="1"/>
  <c r="H51" i="1" s="1"/>
  <c r="G52" i="1"/>
  <c r="H52" i="1" s="1"/>
  <c r="G53" i="1"/>
  <c r="G54" i="1"/>
  <c r="G55" i="1"/>
  <c r="H55" i="1" s="1"/>
  <c r="I55" i="1" s="1"/>
  <c r="G56" i="1"/>
  <c r="H56" i="1" s="1"/>
  <c r="G57" i="1"/>
  <c r="H57" i="1" s="1"/>
  <c r="I57" i="1" s="1"/>
  <c r="G58" i="1"/>
  <c r="H58" i="1" s="1"/>
  <c r="I58" i="1" s="1"/>
  <c r="G59" i="1"/>
  <c r="H59" i="1" s="1"/>
  <c r="G60" i="1"/>
  <c r="H60" i="1" s="1"/>
  <c r="G61" i="1"/>
  <c r="G62" i="1"/>
  <c r="G63" i="1"/>
  <c r="H63" i="1" s="1"/>
  <c r="G64" i="1"/>
  <c r="H64" i="1" s="1"/>
  <c r="G65" i="1"/>
  <c r="H65" i="1" s="1"/>
  <c r="G66" i="1"/>
  <c r="H66" i="1" s="1"/>
  <c r="G67" i="1"/>
  <c r="H67" i="1" s="1"/>
  <c r="G68" i="1"/>
  <c r="G69" i="1"/>
  <c r="G70" i="1"/>
  <c r="H70" i="1" s="1"/>
  <c r="G71" i="1"/>
  <c r="H71" i="1" s="1"/>
  <c r="G72" i="1"/>
  <c r="H72" i="1" s="1"/>
  <c r="G73" i="1"/>
  <c r="H73" i="1" s="1"/>
  <c r="G74" i="1"/>
  <c r="G75" i="1"/>
  <c r="G76" i="1"/>
  <c r="G77" i="1"/>
  <c r="G78" i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G87" i="1"/>
  <c r="G88" i="1"/>
  <c r="H88" i="1" s="1"/>
  <c r="G89" i="1"/>
  <c r="H89" i="1" s="1"/>
  <c r="G90" i="1"/>
  <c r="H90" i="1" s="1"/>
  <c r="G91" i="1"/>
  <c r="H91" i="1" s="1"/>
  <c r="G92" i="1"/>
  <c r="H92" i="1" s="1"/>
  <c r="G93" i="1"/>
  <c r="G94" i="1"/>
  <c r="H94" i="1" s="1"/>
  <c r="G95" i="1"/>
  <c r="H95" i="1" s="1"/>
  <c r="G96" i="1"/>
  <c r="H96" i="1" s="1"/>
  <c r="G97" i="1"/>
  <c r="G98" i="1"/>
  <c r="G99" i="1"/>
  <c r="G100" i="1"/>
  <c r="H100" i="1" s="1"/>
  <c r="G101" i="1"/>
  <c r="G102" i="1"/>
  <c r="G103" i="1"/>
  <c r="H103" i="1" s="1"/>
  <c r="G104" i="1"/>
  <c r="H104" i="1" s="1"/>
  <c r="G105" i="1"/>
  <c r="H105" i="1" s="1"/>
  <c r="G106" i="1"/>
  <c r="H106" i="1" s="1"/>
  <c r="I106" i="1" s="1"/>
  <c r="G107" i="1"/>
  <c r="H107" i="1" s="1"/>
  <c r="G108" i="1"/>
  <c r="H108" i="1" s="1"/>
  <c r="I108" i="1" s="1"/>
  <c r="G109" i="1"/>
  <c r="H109" i="1" s="1"/>
  <c r="G110" i="1"/>
  <c r="G111" i="1"/>
  <c r="G112" i="1"/>
  <c r="G113" i="1"/>
  <c r="G114" i="1"/>
  <c r="H114" i="1" s="1"/>
  <c r="I114" i="1" s="1"/>
  <c r="G115" i="1"/>
  <c r="G116" i="1"/>
  <c r="H116" i="1" s="1"/>
  <c r="G117" i="1"/>
  <c r="H117" i="1" s="1"/>
  <c r="I117" i="1" s="1"/>
  <c r="G118" i="1"/>
  <c r="H118" i="1" s="1"/>
  <c r="G119" i="1"/>
  <c r="G120" i="1"/>
  <c r="H120" i="1" s="1"/>
  <c r="G121" i="1"/>
  <c r="G122" i="1"/>
  <c r="H122" i="1" s="1"/>
  <c r="G123" i="1"/>
  <c r="G124" i="1"/>
  <c r="G125" i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G144" i="1"/>
  <c r="H144" i="1" s="1"/>
  <c r="G177" i="1"/>
  <c r="G178" i="1"/>
  <c r="G179" i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G186" i="1"/>
  <c r="H186" i="1" s="1"/>
  <c r="G187" i="1"/>
  <c r="H187" i="1" s="1"/>
  <c r="G188" i="1"/>
  <c r="H188" i="1" s="1"/>
  <c r="G189" i="1"/>
  <c r="G190" i="1"/>
  <c r="G191" i="1"/>
  <c r="G192" i="1"/>
  <c r="G193" i="1"/>
  <c r="G194" i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G203" i="1"/>
  <c r="G204" i="1"/>
  <c r="G205" i="1"/>
  <c r="G206" i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G214" i="1"/>
  <c r="G215" i="1"/>
  <c r="H215" i="1" s="1"/>
  <c r="G216" i="1"/>
  <c r="G217" i="1"/>
  <c r="G218" i="1"/>
  <c r="H218" i="1" s="1"/>
  <c r="G219" i="1"/>
  <c r="H219" i="1" s="1"/>
  <c r="G220" i="1"/>
  <c r="H220" i="1" s="1"/>
  <c r="G221" i="1"/>
  <c r="H221" i="1" s="1"/>
  <c r="G222" i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G250" i="1"/>
  <c r="G251" i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G265" i="1"/>
  <c r="H265" i="1" s="1"/>
  <c r="G266" i="1"/>
  <c r="H266" i="1" s="1"/>
  <c r="G267" i="1"/>
  <c r="H267" i="1" s="1"/>
  <c r="G268" i="1"/>
  <c r="H268" i="1" s="1"/>
  <c r="G269" i="1"/>
  <c r="G270" i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I283" i="1" s="1"/>
  <c r="G284" i="1"/>
  <c r="H284" i="1" s="1"/>
  <c r="G285" i="1"/>
  <c r="G286" i="1"/>
  <c r="G287" i="1"/>
  <c r="G316" i="1"/>
  <c r="H316" i="1" s="1"/>
  <c r="G317" i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G324" i="1"/>
  <c r="G325" i="1"/>
  <c r="H325" i="1" s="1"/>
  <c r="G326" i="1"/>
  <c r="H326" i="1" s="1"/>
  <c r="G327" i="1"/>
  <c r="H327" i="1" s="1"/>
  <c r="G328" i="1"/>
  <c r="H328" i="1" s="1"/>
  <c r="G329" i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G342" i="1"/>
  <c r="H342" i="1" s="1"/>
  <c r="G343" i="1"/>
  <c r="G344" i="1"/>
  <c r="G345" i="1"/>
  <c r="H345" i="1" s="1"/>
  <c r="G346" i="1"/>
  <c r="H346" i="1" s="1"/>
  <c r="G347" i="1"/>
  <c r="H347" i="1" s="1"/>
  <c r="I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G394" i="1"/>
  <c r="H394" i="1" s="1"/>
  <c r="G395" i="1"/>
  <c r="H395" i="1" s="1"/>
  <c r="G396" i="1"/>
  <c r="H396" i="1" s="1"/>
  <c r="G397" i="1"/>
  <c r="G398" i="1"/>
  <c r="H398" i="1" s="1"/>
  <c r="G399" i="1"/>
  <c r="H399" i="1" s="1"/>
  <c r="G400" i="1"/>
  <c r="H400" i="1" s="1"/>
  <c r="G401" i="1"/>
  <c r="H401" i="1" s="1"/>
  <c r="G402" i="1"/>
  <c r="G403" i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G418" i="1"/>
  <c r="H418" i="1" s="1"/>
  <c r="G419" i="1"/>
  <c r="G420" i="1"/>
  <c r="G421" i="1"/>
  <c r="H421" i="1" s="1"/>
  <c r="G422" i="1"/>
  <c r="H422" i="1" s="1"/>
  <c r="G423" i="1"/>
  <c r="H423" i="1" s="1"/>
  <c r="G436" i="1"/>
  <c r="H436" i="1" s="1"/>
  <c r="G425" i="1"/>
  <c r="H425" i="1" s="1"/>
  <c r="G426" i="1"/>
  <c r="H426" i="1" s="1"/>
  <c r="G427" i="1"/>
  <c r="H427" i="1" s="1"/>
  <c r="G428" i="1"/>
  <c r="H428" i="1" s="1"/>
  <c r="G429" i="1"/>
  <c r="G430" i="1"/>
  <c r="H430" i="1" s="1"/>
  <c r="G431" i="1"/>
  <c r="H431" i="1" s="1"/>
  <c r="G432" i="1"/>
  <c r="H432" i="1" s="1"/>
  <c r="G433" i="1"/>
  <c r="H433" i="1" s="1"/>
  <c r="G437" i="1"/>
  <c r="H437" i="1" s="1"/>
  <c r="G434" i="1"/>
  <c r="H434" i="1" s="1"/>
  <c r="G435" i="1"/>
  <c r="H435" i="1" s="1"/>
  <c r="G424" i="1"/>
  <c r="G438" i="1"/>
  <c r="H438" i="1" s="1"/>
  <c r="G439" i="1"/>
  <c r="G440" i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G465" i="1"/>
  <c r="H465" i="1" s="1"/>
  <c r="G466" i="1"/>
  <c r="H466" i="1" s="1"/>
  <c r="G467" i="1"/>
  <c r="H467" i="1" s="1"/>
  <c r="G468" i="1"/>
  <c r="H468" i="1" s="1"/>
  <c r="G469" i="1"/>
  <c r="G470" i="1"/>
  <c r="G471" i="1"/>
  <c r="G472" i="1"/>
  <c r="G473" i="1"/>
  <c r="G474" i="1"/>
  <c r="H474" i="1" s="1"/>
  <c r="G475" i="1"/>
  <c r="H475" i="1" s="1"/>
  <c r="G476" i="1"/>
  <c r="H476" i="1" s="1"/>
  <c r="I476" i="1" s="1"/>
  <c r="G477" i="1"/>
  <c r="G478" i="1"/>
  <c r="G479" i="1"/>
  <c r="H479" i="1" s="1"/>
  <c r="G480" i="1"/>
  <c r="H480" i="1" s="1"/>
  <c r="G481" i="1"/>
  <c r="G482" i="1"/>
  <c r="H482" i="1" s="1"/>
  <c r="G483" i="1"/>
  <c r="H483" i="1" s="1"/>
  <c r="G484" i="1"/>
  <c r="H484" i="1" s="1"/>
  <c r="G485" i="1"/>
  <c r="H485" i="1" s="1"/>
  <c r="G486" i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G493" i="1"/>
  <c r="H493" i="1" s="1"/>
  <c r="G494" i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G508" i="1"/>
  <c r="H508" i="1" s="1"/>
  <c r="G509" i="1"/>
  <c r="H509" i="1" s="1"/>
  <c r="G510" i="1"/>
  <c r="H510" i="1" s="1"/>
  <c r="G511" i="1"/>
  <c r="H511" i="1" s="1"/>
  <c r="G512" i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G525" i="1"/>
  <c r="H525" i="1" s="1"/>
  <c r="G526" i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G539" i="1"/>
  <c r="H539" i="1" s="1"/>
  <c r="G558" i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I569" i="1" s="1"/>
  <c r="G570" i="1"/>
  <c r="G571" i="1"/>
  <c r="H571" i="1" s="1"/>
  <c r="G572" i="1"/>
  <c r="H572" i="1" s="1"/>
  <c r="G573" i="1"/>
  <c r="H573" i="1" s="1"/>
  <c r="G574" i="1"/>
  <c r="H574" i="1" s="1"/>
  <c r="G575" i="1"/>
  <c r="G576" i="1"/>
  <c r="G577" i="1"/>
  <c r="G578" i="1"/>
  <c r="H578" i="1" s="1"/>
  <c r="G579" i="1"/>
  <c r="G580" i="1"/>
  <c r="H580" i="1" s="1"/>
  <c r="I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G655" i="1"/>
  <c r="H655" i="1" s="1"/>
  <c r="G656" i="1"/>
  <c r="H656" i="1" s="1"/>
  <c r="G657" i="1"/>
  <c r="H657" i="1" s="1"/>
  <c r="G658" i="1"/>
  <c r="H658" i="1" s="1"/>
  <c r="G659" i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G683" i="1"/>
  <c r="H683" i="1" s="1"/>
  <c r="G684" i="1"/>
  <c r="H684" i="1" s="1"/>
  <c r="G685" i="1"/>
  <c r="H685" i="1" s="1"/>
  <c r="G686" i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G693" i="1"/>
  <c r="H693" i="1" s="1"/>
  <c r="G694" i="1"/>
  <c r="H694" i="1" s="1"/>
  <c r="G695" i="1"/>
  <c r="H695" i="1" s="1"/>
  <c r="G696" i="1"/>
  <c r="H696" i="1" s="1"/>
  <c r="G697" i="1"/>
  <c r="H697" i="1" s="1"/>
  <c r="G2" i="1"/>
  <c r="H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36" i="1"/>
  <c r="F436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7" i="1"/>
  <c r="F437" i="1" s="1"/>
  <c r="E434" i="1"/>
  <c r="F434" i="1" s="1"/>
  <c r="E435" i="1"/>
  <c r="F435" i="1" s="1"/>
  <c r="E424" i="1"/>
  <c r="F424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2" i="1"/>
  <c r="F2" i="1" s="1"/>
  <c r="I518" i="1" l="1"/>
  <c r="H222" i="1"/>
  <c r="I222" i="1" s="1"/>
  <c r="H12" i="1"/>
  <c r="I12" i="1" s="1"/>
  <c r="I606" i="1"/>
  <c r="I115" i="1"/>
  <c r="H10" i="1"/>
  <c r="I10" i="1" s="1"/>
  <c r="I490" i="1"/>
  <c r="I40" i="1"/>
  <c r="I138" i="1"/>
  <c r="H40" i="1"/>
  <c r="H494" i="1"/>
  <c r="I494" i="1" s="1"/>
  <c r="H115" i="1"/>
  <c r="I360" i="1"/>
  <c r="I143" i="1"/>
  <c r="I11" i="1"/>
  <c r="I141" i="1"/>
  <c r="I90" i="1"/>
  <c r="I688" i="1"/>
  <c r="I466" i="1"/>
  <c r="H558" i="1"/>
  <c r="I558" i="1" s="1"/>
  <c r="H419" i="1"/>
  <c r="I419" i="1" s="1"/>
  <c r="H343" i="1"/>
  <c r="I343" i="1" s="1"/>
  <c r="I30" i="1"/>
  <c r="I663" i="1"/>
  <c r="H477" i="1"/>
  <c r="I477" i="1" s="1"/>
  <c r="I405" i="1"/>
  <c r="H317" i="1"/>
  <c r="I317" i="1" s="1"/>
  <c r="H193" i="1"/>
  <c r="I193" i="1" s="1"/>
  <c r="I181" i="1"/>
  <c r="H570" i="1"/>
  <c r="I570" i="1" s="1"/>
  <c r="H344" i="1"/>
  <c r="I344" i="1" s="1"/>
  <c r="I664" i="1"/>
  <c r="I616" i="1"/>
  <c r="I514" i="1"/>
  <c r="I418" i="1"/>
  <c r="I182" i="1"/>
  <c r="H78" i="1"/>
  <c r="I78" i="1" s="1"/>
  <c r="I18" i="1"/>
  <c r="H277" i="1"/>
  <c r="I277" i="1" s="1"/>
  <c r="H417" i="1"/>
  <c r="I417" i="1" s="1"/>
  <c r="H526" i="1"/>
  <c r="I526" i="1" s="1"/>
  <c r="I318" i="1"/>
  <c r="H194" i="1"/>
  <c r="I194" i="1" s="1"/>
  <c r="H54" i="1"/>
  <c r="I54" i="1" s="1"/>
  <c r="I253" i="1"/>
  <c r="H341" i="1"/>
  <c r="I341" i="1" s="1"/>
  <c r="H420" i="1"/>
  <c r="I420" i="1" s="1"/>
  <c r="I592" i="1"/>
  <c r="H538" i="1"/>
  <c r="I538" i="1" s="1"/>
  <c r="I406" i="1"/>
  <c r="I6" i="1"/>
  <c r="H501" i="1"/>
  <c r="I501" i="1" s="1"/>
  <c r="H478" i="1"/>
  <c r="I478" i="1" s="1"/>
  <c r="I652" i="1"/>
  <c r="I604" i="1"/>
  <c r="I502" i="1"/>
  <c r="I442" i="1"/>
  <c r="I394" i="1"/>
  <c r="I254" i="1"/>
  <c r="H102" i="1"/>
  <c r="I102" i="1" s="1"/>
  <c r="I567" i="1"/>
  <c r="H329" i="1"/>
  <c r="I329" i="1" s="1"/>
  <c r="I66" i="1"/>
  <c r="I568" i="1"/>
  <c r="I454" i="1"/>
  <c r="I342" i="1"/>
  <c r="I266" i="1"/>
  <c r="I42" i="1"/>
  <c r="H579" i="1"/>
  <c r="I579" i="1" s="1"/>
  <c r="I661" i="1"/>
  <c r="I565" i="1"/>
  <c r="I415" i="1"/>
  <c r="I351" i="1"/>
  <c r="I339" i="1"/>
  <c r="I239" i="1"/>
  <c r="I227" i="1"/>
  <c r="I135" i="1"/>
  <c r="I416" i="1"/>
  <c r="I696" i="1"/>
  <c r="I684" i="1"/>
  <c r="I564" i="1"/>
  <c r="I534" i="1"/>
  <c r="I462" i="1"/>
  <c r="I414" i="1"/>
  <c r="I350" i="1"/>
  <c r="I338" i="1"/>
  <c r="I238" i="1"/>
  <c r="I226" i="1"/>
  <c r="I50" i="1"/>
  <c r="I695" i="1"/>
  <c r="I563" i="1"/>
  <c r="I413" i="1"/>
  <c r="I349" i="1"/>
  <c r="I337" i="1"/>
  <c r="I237" i="1"/>
  <c r="I225" i="1"/>
  <c r="I133" i="1"/>
  <c r="I73" i="1"/>
  <c r="I49" i="1"/>
  <c r="H473" i="1"/>
  <c r="I473" i="1" s="1"/>
  <c r="I566" i="1"/>
  <c r="I694" i="1"/>
  <c r="I646" i="1"/>
  <c r="I622" i="1"/>
  <c r="I610" i="1"/>
  <c r="I562" i="1"/>
  <c r="I532" i="1"/>
  <c r="I496" i="1"/>
  <c r="I484" i="1"/>
  <c r="I460" i="1"/>
  <c r="I400" i="1"/>
  <c r="I348" i="1"/>
  <c r="I272" i="1"/>
  <c r="I260" i="1"/>
  <c r="I48" i="1"/>
  <c r="I72" i="1"/>
  <c r="I60" i="1"/>
  <c r="I36" i="1"/>
  <c r="I123" i="1"/>
  <c r="H324" i="1"/>
  <c r="I324" i="1" s="1"/>
  <c r="H113" i="1"/>
  <c r="I113" i="1" s="1"/>
  <c r="H101" i="1"/>
  <c r="I101" i="1" s="1"/>
  <c r="H472" i="1"/>
  <c r="I472" i="1" s="1"/>
  <c r="H77" i="1"/>
  <c r="I77" i="1" s="1"/>
  <c r="I65" i="1"/>
  <c r="I41" i="1"/>
  <c r="I228" i="1"/>
  <c r="I5" i="1"/>
  <c r="I561" i="1"/>
  <c r="I434" i="1"/>
  <c r="I423" i="1"/>
  <c r="I411" i="1"/>
  <c r="I323" i="1"/>
  <c r="I199" i="1"/>
  <c r="I107" i="1"/>
  <c r="I83" i="1"/>
  <c r="I188" i="1"/>
  <c r="I96" i="1"/>
  <c r="I248" i="1"/>
  <c r="H323" i="1"/>
  <c r="H507" i="1"/>
  <c r="I507" i="1" s="1"/>
  <c r="H112" i="1"/>
  <c r="I112" i="1" s="1"/>
  <c r="H471" i="1"/>
  <c r="I471" i="1" s="1"/>
  <c r="H577" i="1"/>
  <c r="I577" i="1" s="1"/>
  <c r="H287" i="1"/>
  <c r="I287" i="1" s="1"/>
  <c r="H204" i="1"/>
  <c r="I204" i="1" s="1"/>
  <c r="H192" i="1"/>
  <c r="I192" i="1" s="1"/>
  <c r="H76" i="1"/>
  <c r="I76" i="1" s="1"/>
  <c r="I89" i="1"/>
  <c r="I680" i="1"/>
  <c r="I632" i="1"/>
  <c r="I584" i="1"/>
  <c r="I572" i="1"/>
  <c r="I560" i="1"/>
  <c r="I422" i="1"/>
  <c r="I410" i="1"/>
  <c r="I358" i="1"/>
  <c r="I346" i="1"/>
  <c r="I334" i="1"/>
  <c r="I282" i="1"/>
  <c r="I210" i="1"/>
  <c r="I598" i="1"/>
  <c r="I586" i="1"/>
  <c r="I448" i="1"/>
  <c r="I520" i="1"/>
  <c r="H111" i="1"/>
  <c r="I111" i="1" s="1"/>
  <c r="H470" i="1"/>
  <c r="I470" i="1" s="1"/>
  <c r="H576" i="1"/>
  <c r="I576" i="1" s="1"/>
  <c r="H286" i="1"/>
  <c r="I286" i="1" s="1"/>
  <c r="H203" i="1"/>
  <c r="I203" i="1" s="1"/>
  <c r="H191" i="1"/>
  <c r="I191" i="1" s="1"/>
  <c r="H75" i="1"/>
  <c r="I75" i="1" s="1"/>
  <c r="I340" i="1"/>
  <c r="I240" i="1"/>
  <c r="I17" i="1"/>
  <c r="I571" i="1"/>
  <c r="I559" i="1"/>
  <c r="I421" i="1"/>
  <c r="I345" i="1"/>
  <c r="H110" i="1"/>
  <c r="I110" i="1" s="1"/>
  <c r="H481" i="1"/>
  <c r="I481" i="1" s="1"/>
  <c r="H469" i="1"/>
  <c r="I469" i="1" s="1"/>
  <c r="H575" i="1"/>
  <c r="I575" i="1" s="1"/>
  <c r="H53" i="1"/>
  <c r="I53" i="1" s="1"/>
  <c r="H285" i="1"/>
  <c r="I285" i="1" s="1"/>
  <c r="H202" i="1"/>
  <c r="I202" i="1" s="1"/>
  <c r="H86" i="1"/>
  <c r="I86" i="1" s="1"/>
  <c r="H74" i="1"/>
  <c r="I74" i="1" s="1"/>
  <c r="I126" i="1"/>
  <c r="I278" i="1"/>
  <c r="I498" i="1"/>
  <c r="I474" i="1"/>
  <c r="I412" i="1"/>
  <c r="I529" i="1"/>
  <c r="I594" i="1"/>
  <c r="I516" i="1"/>
  <c r="I444" i="1"/>
  <c r="I689" i="1"/>
  <c r="I653" i="1"/>
  <c r="I617" i="1"/>
  <c r="I605" i="1"/>
  <c r="I539" i="1"/>
  <c r="I527" i="1"/>
  <c r="I491" i="1"/>
  <c r="I467" i="1"/>
  <c r="I455" i="1"/>
  <c r="I267" i="1"/>
  <c r="I591" i="1"/>
  <c r="I525" i="1"/>
  <c r="I513" i="1"/>
  <c r="I453" i="1"/>
  <c r="I441" i="1"/>
  <c r="I29" i="1"/>
  <c r="I674" i="1"/>
  <c r="I662" i="1"/>
  <c r="I638" i="1"/>
  <c r="I578" i="1"/>
  <c r="I500" i="1"/>
  <c r="I428" i="1"/>
  <c r="I404" i="1"/>
  <c r="I364" i="1"/>
  <c r="I352" i="1"/>
  <c r="I328" i="1"/>
  <c r="I316" i="1"/>
  <c r="I276" i="1"/>
  <c r="I252" i="1"/>
  <c r="I216" i="1"/>
  <c r="I180" i="1"/>
  <c r="I100" i="1"/>
  <c r="I88" i="1"/>
  <c r="I64" i="1"/>
  <c r="I52" i="1"/>
  <c r="I16" i="1"/>
  <c r="I4" i="1"/>
  <c r="I475" i="1"/>
  <c r="I327" i="1"/>
  <c r="I63" i="1"/>
  <c r="I51" i="1"/>
  <c r="I39" i="1"/>
  <c r="I660" i="1"/>
  <c r="I109" i="1"/>
  <c r="I574" i="1"/>
  <c r="I435" i="1"/>
  <c r="I284" i="1"/>
  <c r="I200" i="1"/>
  <c r="I144" i="1"/>
  <c r="I132" i="1"/>
  <c r="I84" i="1"/>
  <c r="I693" i="1"/>
  <c r="I669" i="1"/>
  <c r="I657" i="1"/>
  <c r="I645" i="1"/>
  <c r="I621" i="1"/>
  <c r="I609" i="1"/>
  <c r="I585" i="1"/>
  <c r="I573" i="1"/>
  <c r="I531" i="1"/>
  <c r="I495" i="1"/>
  <c r="I483" i="1"/>
  <c r="I459" i="1"/>
  <c r="I271" i="1"/>
  <c r="I59" i="1"/>
  <c r="I47" i="1"/>
  <c r="I644" i="1"/>
  <c r="I620" i="1"/>
  <c r="I482" i="1"/>
  <c r="I198" i="1"/>
  <c r="I82" i="1"/>
  <c r="I46" i="1"/>
  <c r="I85" i="1"/>
  <c r="I679" i="1"/>
  <c r="I655" i="1"/>
  <c r="I643" i="1"/>
  <c r="I631" i="1"/>
  <c r="I619" i="1"/>
  <c r="I583" i="1"/>
  <c r="I493" i="1"/>
  <c r="I281" i="1"/>
  <c r="I197" i="1"/>
  <c r="I105" i="1"/>
  <c r="I81" i="1"/>
  <c r="I201" i="1"/>
  <c r="I690" i="1"/>
  <c r="I678" i="1"/>
  <c r="I630" i="1"/>
  <c r="I582" i="1"/>
  <c r="I528" i="1"/>
  <c r="I480" i="1"/>
  <c r="I468" i="1"/>
  <c r="I432" i="1"/>
  <c r="I356" i="1"/>
  <c r="I320" i="1"/>
  <c r="I280" i="1"/>
  <c r="I208" i="1"/>
  <c r="I196" i="1"/>
  <c r="I104" i="1"/>
  <c r="I80" i="1"/>
  <c r="I56" i="1"/>
  <c r="I677" i="1"/>
  <c r="I665" i="1"/>
  <c r="I641" i="1"/>
  <c r="I629" i="1"/>
  <c r="I593" i="1"/>
  <c r="I581" i="1"/>
  <c r="I515" i="1"/>
  <c r="I503" i="1"/>
  <c r="I479" i="1"/>
  <c r="I443" i="1"/>
  <c r="I431" i="1"/>
  <c r="I407" i="1"/>
  <c r="I395" i="1"/>
  <c r="I355" i="1"/>
  <c r="I319" i="1"/>
  <c r="I279" i="1"/>
  <c r="I255" i="1"/>
  <c r="I207" i="1"/>
  <c r="I195" i="1"/>
  <c r="I183" i="1"/>
  <c r="I139" i="1"/>
  <c r="I127" i="1"/>
  <c r="I103" i="1"/>
  <c r="I91" i="1"/>
  <c r="I79" i="1"/>
  <c r="I67" i="1"/>
  <c r="I43" i="1"/>
  <c r="I31" i="1"/>
  <c r="I19" i="1"/>
  <c r="I7" i="1"/>
  <c r="I331" i="1"/>
  <c r="I243" i="1"/>
  <c r="I231" i="1"/>
  <c r="I219" i="1"/>
  <c r="I330" i="1"/>
  <c r="I242" i="1"/>
  <c r="I230" i="1"/>
  <c r="I218" i="1"/>
  <c r="I241" i="1"/>
  <c r="I229" i="1"/>
  <c r="I682" i="1"/>
  <c r="I436" i="1"/>
  <c r="I336" i="1"/>
  <c r="I236" i="1"/>
  <c r="I224" i="1"/>
  <c r="I212" i="1"/>
  <c r="I120" i="1"/>
  <c r="I24" i="1"/>
  <c r="I670" i="1"/>
  <c r="I681" i="1"/>
  <c r="I633" i="1"/>
  <c r="I399" i="1"/>
  <c r="I359" i="1"/>
  <c r="I335" i="1"/>
  <c r="I259" i="1"/>
  <c r="I247" i="1"/>
  <c r="I235" i="1"/>
  <c r="I223" i="1"/>
  <c r="I211" i="1"/>
  <c r="I187" i="1"/>
  <c r="I119" i="1"/>
  <c r="I95" i="1"/>
  <c r="I71" i="1"/>
  <c r="I35" i="1"/>
  <c r="I634" i="1"/>
  <c r="I234" i="1"/>
  <c r="I658" i="1"/>
  <c r="I691" i="1"/>
  <c r="I667" i="1"/>
  <c r="I595" i="1"/>
  <c r="I517" i="1"/>
  <c r="I457" i="1"/>
  <c r="I445" i="1"/>
  <c r="I433" i="1"/>
  <c r="I357" i="1"/>
  <c r="I333" i="1"/>
  <c r="I245" i="1"/>
  <c r="I233" i="1"/>
  <c r="I221" i="1"/>
  <c r="I209" i="1"/>
  <c r="I129" i="1"/>
  <c r="I21" i="1"/>
  <c r="I456" i="1"/>
  <c r="I408" i="1"/>
  <c r="I396" i="1"/>
  <c r="I332" i="1"/>
  <c r="I268" i="1"/>
  <c r="I256" i="1"/>
  <c r="I244" i="1"/>
  <c r="I232" i="1"/>
  <c r="I220" i="1"/>
  <c r="I184" i="1"/>
  <c r="I140" i="1"/>
  <c r="I128" i="1"/>
  <c r="I116" i="1"/>
  <c r="I92" i="1"/>
  <c r="I68" i="1"/>
  <c r="I44" i="1"/>
  <c r="I32" i="1"/>
  <c r="I20" i="1"/>
  <c r="I8" i="1"/>
  <c r="I504" i="1"/>
  <c r="I511" i="1"/>
  <c r="I499" i="1"/>
  <c r="I508" i="1"/>
  <c r="I597" i="1"/>
  <c r="I519" i="1"/>
  <c r="I447" i="1"/>
  <c r="I131" i="1"/>
  <c r="I23" i="1"/>
  <c r="I692" i="1"/>
  <c r="I668" i="1"/>
  <c r="I656" i="1"/>
  <c r="I608" i="1"/>
  <c r="I596" i="1"/>
  <c r="I530" i="1"/>
  <c r="I506" i="1"/>
  <c r="I458" i="1"/>
  <c r="I446" i="1"/>
  <c r="I437" i="1"/>
  <c r="I398" i="1"/>
  <c r="I322" i="1"/>
  <c r="I270" i="1"/>
  <c r="I258" i="1"/>
  <c r="I246" i="1"/>
  <c r="I186" i="1"/>
  <c r="I142" i="1"/>
  <c r="I130" i="1"/>
  <c r="I118" i="1"/>
  <c r="I94" i="1"/>
  <c r="I70" i="1"/>
  <c r="I34" i="1"/>
  <c r="I607" i="1"/>
  <c r="I505" i="1"/>
  <c r="I409" i="1"/>
  <c r="I397" i="1"/>
  <c r="I321" i="1"/>
  <c r="I269" i="1"/>
  <c r="I257" i="1"/>
  <c r="I185" i="1"/>
  <c r="I93" i="1"/>
  <c r="I69" i="1"/>
  <c r="I45" i="1"/>
  <c r="I33" i="1"/>
  <c r="I9" i="1"/>
  <c r="I666" i="1"/>
  <c r="I654" i="1"/>
  <c r="I642" i="1"/>
  <c r="I618" i="1"/>
  <c r="I492" i="1"/>
  <c r="I676" i="1"/>
  <c r="I640" i="1"/>
  <c r="I628" i="1"/>
  <c r="I430" i="1"/>
  <c r="I354" i="1"/>
  <c r="I206" i="1"/>
  <c r="I687" i="1"/>
  <c r="I675" i="1"/>
  <c r="I651" i="1"/>
  <c r="I639" i="1"/>
  <c r="I627" i="1"/>
  <c r="I615" i="1"/>
  <c r="I603" i="1"/>
  <c r="I537" i="1"/>
  <c r="I489" i="1"/>
  <c r="I465" i="1"/>
  <c r="I429" i="1"/>
  <c r="I365" i="1"/>
  <c r="I353" i="1"/>
  <c r="I265" i="1"/>
  <c r="I217" i="1"/>
  <c r="I205" i="1"/>
  <c r="I137" i="1"/>
  <c r="I125" i="1"/>
  <c r="I2" i="1"/>
  <c r="I686" i="1"/>
  <c r="I650" i="1"/>
  <c r="I626" i="1"/>
  <c r="I614" i="1"/>
  <c r="I602" i="1"/>
  <c r="I590" i="1"/>
  <c r="I536" i="1"/>
  <c r="I524" i="1"/>
  <c r="I512" i="1"/>
  <c r="I488" i="1"/>
  <c r="I464" i="1"/>
  <c r="I452" i="1"/>
  <c r="I440" i="1"/>
  <c r="I264" i="1"/>
  <c r="I136" i="1"/>
  <c r="I124" i="1"/>
  <c r="I28" i="1"/>
  <c r="I697" i="1"/>
  <c r="I685" i="1"/>
  <c r="I673" i="1"/>
  <c r="I649" i="1"/>
  <c r="I637" i="1"/>
  <c r="I625" i="1"/>
  <c r="I613" i="1"/>
  <c r="I601" i="1"/>
  <c r="I589" i="1"/>
  <c r="I535" i="1"/>
  <c r="I523" i="1"/>
  <c r="I487" i="1"/>
  <c r="I463" i="1"/>
  <c r="I451" i="1"/>
  <c r="I439" i="1"/>
  <c r="I427" i="1"/>
  <c r="I403" i="1"/>
  <c r="I363" i="1"/>
  <c r="I275" i="1"/>
  <c r="I263" i="1"/>
  <c r="I251" i="1"/>
  <c r="I215" i="1"/>
  <c r="I179" i="1"/>
  <c r="I99" i="1"/>
  <c r="I87" i="1"/>
  <c r="I27" i="1"/>
  <c r="I15" i="1"/>
  <c r="I3" i="1"/>
  <c r="I672" i="1"/>
  <c r="I648" i="1"/>
  <c r="I636" i="1"/>
  <c r="I624" i="1"/>
  <c r="I612" i="1"/>
  <c r="I600" i="1"/>
  <c r="I588" i="1"/>
  <c r="I522" i="1"/>
  <c r="I510" i="1"/>
  <c r="I486" i="1"/>
  <c r="I450" i="1"/>
  <c r="I438" i="1"/>
  <c r="I426" i="1"/>
  <c r="I402" i="1"/>
  <c r="I362" i="1"/>
  <c r="I326" i="1"/>
  <c r="I274" i="1"/>
  <c r="I262" i="1"/>
  <c r="I250" i="1"/>
  <c r="I214" i="1"/>
  <c r="I190" i="1"/>
  <c r="I178" i="1"/>
  <c r="I134" i="1"/>
  <c r="I122" i="1"/>
  <c r="I98" i="1"/>
  <c r="I62" i="1"/>
  <c r="I38" i="1"/>
  <c r="I26" i="1"/>
  <c r="I14" i="1"/>
  <c r="I683" i="1"/>
  <c r="I671" i="1"/>
  <c r="I659" i="1"/>
  <c r="I647" i="1"/>
  <c r="I635" i="1"/>
  <c r="I623" i="1"/>
  <c r="I611" i="1"/>
  <c r="I599" i="1"/>
  <c r="I587" i="1"/>
  <c r="I533" i="1"/>
  <c r="I521" i="1"/>
  <c r="I509" i="1"/>
  <c r="I497" i="1"/>
  <c r="I485" i="1"/>
  <c r="I461" i="1"/>
  <c r="I449" i="1"/>
  <c r="I424" i="1"/>
  <c r="I425" i="1"/>
  <c r="I401" i="1"/>
  <c r="I361" i="1"/>
  <c r="I325" i="1"/>
  <c r="I273" i="1"/>
  <c r="I261" i="1"/>
  <c r="I249" i="1"/>
  <c r="I213" i="1"/>
  <c r="I189" i="1"/>
  <c r="I177" i="1"/>
  <c r="I121" i="1"/>
  <c r="I97" i="1"/>
  <c r="I61" i="1"/>
  <c r="I37" i="1"/>
  <c r="I25" i="1"/>
  <c r="I13" i="1"/>
</calcChain>
</file>

<file path=xl/sharedStrings.xml><?xml version="1.0" encoding="utf-8"?>
<sst xmlns="http://schemas.openxmlformats.org/spreadsheetml/2006/main" count="9959" uniqueCount="2376">
  <si>
    <t>Color</t>
  </si>
  <si>
    <t>Talla</t>
  </si>
  <si>
    <t>Camel</t>
  </si>
  <si>
    <t>URL ficha tecnica</t>
  </si>
  <si>
    <t>FOR.ALASKA</t>
  </si>
  <si>
    <t>FOR.ALASKA-99-35</t>
  </si>
  <si>
    <t>FOR.ALASKA-99-36</t>
  </si>
  <si>
    <t>FOR.ALASKA-99-37</t>
  </si>
  <si>
    <t>FOR.ALASKA-99-38</t>
  </si>
  <si>
    <t>FOR.ALASKA-99-39</t>
  </si>
  <si>
    <t>FOR.ALASKA-99-40</t>
  </si>
  <si>
    <t>FOR.ALASKA-99-41</t>
  </si>
  <si>
    <t>FOR.ALASKA-99-42</t>
  </si>
  <si>
    <t>FOR.ALASKA-99-43</t>
  </si>
  <si>
    <t>FOR.ALASKA-99-44</t>
  </si>
  <si>
    <t>FOR.ALASKA-99-45</t>
  </si>
  <si>
    <t>FOR.ALASKA-99-46</t>
  </si>
  <si>
    <t>FOR.ALASKA-99-47</t>
  </si>
  <si>
    <t>FOR.ALASKA-99-48</t>
  </si>
  <si>
    <t>FOR.ASPEN</t>
  </si>
  <si>
    <t>FOR.ASPEN-94-35</t>
  </si>
  <si>
    <t>FOR.ASPEN-94-36</t>
  </si>
  <si>
    <t>FOR.ASPEN-94-37</t>
  </si>
  <si>
    <t>FOR.ASPEN-94-38</t>
  </si>
  <si>
    <t>FOR.ASPEN-94-39</t>
  </si>
  <si>
    <t>FOR.ASPEN-94-40</t>
  </si>
  <si>
    <t>FOR.ASPEN-94-41</t>
  </si>
  <si>
    <t>FOR.ASPEN-94-42</t>
  </si>
  <si>
    <t>FOR.ASPEN-94-43</t>
  </si>
  <si>
    <t>FOR.ASPEN-94-44</t>
  </si>
  <si>
    <t>FOR.ASPEN-94-45</t>
  </si>
  <si>
    <t>FOR.ASPEN-94-46</t>
  </si>
  <si>
    <t>FOR.ASPEN-94-47</t>
  </si>
  <si>
    <t>FOR.ASPEN-94-48</t>
  </si>
  <si>
    <t>FOR.ATLANTA</t>
  </si>
  <si>
    <t>FOR.ATLANTA-99-35</t>
  </si>
  <si>
    <t>FOR.ATLANTA-99-36</t>
  </si>
  <si>
    <t>FOR.ATLANTA-99-37</t>
  </si>
  <si>
    <t>FOR.ATLANTA-99-38</t>
  </si>
  <si>
    <t>FOR.ATLANTA-99-39</t>
  </si>
  <si>
    <t>FOR.ATLANTA-99-40</t>
  </si>
  <si>
    <t>FOR.ATLANTA-99-41</t>
  </si>
  <si>
    <t>FOR.ATLANTA-99-42</t>
  </si>
  <si>
    <t>FOR.ATLANTA-99-43</t>
  </si>
  <si>
    <t>FOR.ATLANTA-99-44</t>
  </si>
  <si>
    <t>FOR.ATLANTA-99-45</t>
  </si>
  <si>
    <t>FOR.ATLANTA-99-46</t>
  </si>
  <si>
    <t>FOR.ATLANTA-99-47</t>
  </si>
  <si>
    <t>FOR.ATLANTA-99-48</t>
  </si>
  <si>
    <t>FOR.AUSTIN</t>
  </si>
  <si>
    <t>FOR.AUSTIN-94-35</t>
  </si>
  <si>
    <t>FOR.AUSTIN-94-36</t>
  </si>
  <si>
    <t>FOR.AUSTIN-94-37</t>
  </si>
  <si>
    <t>FOR.AUSTIN-94-38</t>
  </si>
  <si>
    <t>FOR.AUSTIN-94-39</t>
  </si>
  <si>
    <t>FOR.AUSTIN-94-40</t>
  </si>
  <si>
    <t>FOR.AUSTIN-94-41</t>
  </si>
  <si>
    <t>FOR.AUSTIN-94-42</t>
  </si>
  <si>
    <t>FOR.AUSTIN-94-43</t>
  </si>
  <si>
    <t>FOR.AUSTIN-94-44</t>
  </si>
  <si>
    <t>FOR.AUSTIN-94-45</t>
  </si>
  <si>
    <t>FOR.AUSTIN-94-46</t>
  </si>
  <si>
    <t>FOR.AUSTIN-94-47</t>
  </si>
  <si>
    <t>FOR.AUSTIN-94-48</t>
  </si>
  <si>
    <t>FOR.BALTIMORE</t>
  </si>
  <si>
    <t>FOR.BALTIMORE-00-36</t>
  </si>
  <si>
    <t>FOR.BALTIMORE-00-37</t>
  </si>
  <si>
    <t>FOR.BALTIMORE-00-38</t>
  </si>
  <si>
    <t>FOR.BALTIMORE-00-39</t>
  </si>
  <si>
    <t>FOR.BALTIMORE-00-40</t>
  </si>
  <si>
    <t>FOR.BALTIMORE-00-41</t>
  </si>
  <si>
    <t>FOR.BALTIMORE-00-42</t>
  </si>
  <si>
    <t>FOR.BALTIMORE-00-43</t>
  </si>
  <si>
    <t>FOR.BALTIMORE-00-44</t>
  </si>
  <si>
    <t>FOR.BALTIMORE-00-45</t>
  </si>
  <si>
    <t>FOR.BALTIMORE-00-46</t>
  </si>
  <si>
    <t>FOR.BALTIMORE-00-47</t>
  </si>
  <si>
    <t>FOR.BALTIMORE-00-48</t>
  </si>
  <si>
    <t>FOR.BOSTON</t>
  </si>
  <si>
    <t>FOR.BOSTON-99-35</t>
  </si>
  <si>
    <t>FOR.BOSTON-99-36</t>
  </si>
  <si>
    <t>FOR.BOSTON-99-37</t>
  </si>
  <si>
    <t>FOR.BOSTON-99-38</t>
  </si>
  <si>
    <t>FOR.BOSTON-99-39</t>
  </si>
  <si>
    <t>FOR.BOSTON-99-40</t>
  </si>
  <si>
    <t>FOR.BOSTON-99-41</t>
  </si>
  <si>
    <t>FOR.BOSTON-99-42</t>
  </si>
  <si>
    <t>FOR.BOSTON-99-43</t>
  </si>
  <si>
    <t>FOR.BOSTON-99-44</t>
  </si>
  <si>
    <t>FOR.BOSTON-99-45</t>
  </si>
  <si>
    <t>FOR.BOSTON-99-46</t>
  </si>
  <si>
    <t>FOR.BOSTON-99-47</t>
  </si>
  <si>
    <t>FOR.BOSTON-99-48</t>
  </si>
  <si>
    <t>FOR.BRONX</t>
  </si>
  <si>
    <t>FOR.BRONX-99-35</t>
  </si>
  <si>
    <t>FOR.BRONX-99-36</t>
  </si>
  <si>
    <t>FOR.BRONX-99-37</t>
  </si>
  <si>
    <t>FOR.BRONX-99-38</t>
  </si>
  <si>
    <t>FOR.BRONX-99-39</t>
  </si>
  <si>
    <t>FOR.BRONX-99-40</t>
  </si>
  <si>
    <t>FOR.BRONX-99-41</t>
  </si>
  <si>
    <t>FOR.BRONX-99-42</t>
  </si>
  <si>
    <t>FOR.BRONX-99-43</t>
  </si>
  <si>
    <t>FOR.BRONX-99-44</t>
  </si>
  <si>
    <t>FOR.BRONX-99-45</t>
  </si>
  <si>
    <t>FOR.BRONX-99-46</t>
  </si>
  <si>
    <t>FOR.BRONX-99-47</t>
  </si>
  <si>
    <t>FOR.BRONX-99-48</t>
  </si>
  <si>
    <t>FOR.BUFFALO</t>
  </si>
  <si>
    <t>FOR.BUFFALO-99-35</t>
  </si>
  <si>
    <t>FOR.BUFFALO-99-36</t>
  </si>
  <si>
    <t>FOR.BUFFALO-99-37</t>
  </si>
  <si>
    <t>FOR.BUFFALO-99-38</t>
  </si>
  <si>
    <t>FOR.BUFFALO-99-39</t>
  </si>
  <si>
    <t>FOR.BUFFALO-99-40</t>
  </si>
  <si>
    <t>FOR.BUFFALO-99-41</t>
  </si>
  <si>
    <t>FOR.BUFFALO-99-42</t>
  </si>
  <si>
    <t>FOR.BUFFALO-99-43</t>
  </si>
  <si>
    <t>FOR.BUFFALO-99-44</t>
  </si>
  <si>
    <t>FOR.BUFFALO-99-45</t>
  </si>
  <si>
    <t>FOR.BUFFALO-99-46</t>
  </si>
  <si>
    <t>FOR.BUFFALO-99-47</t>
  </si>
  <si>
    <t>FOR.BUFFALO-99-48</t>
  </si>
  <si>
    <t>FOR.CHEROKEE</t>
  </si>
  <si>
    <t>FOR.CHEROKEE-19-35</t>
  </si>
  <si>
    <t>FOR.CHEROKEE-19-36</t>
  </si>
  <si>
    <t>FOR.CHEROKEE-19-37</t>
  </si>
  <si>
    <t>FOR.CHEROKEE-19-38</t>
  </si>
  <si>
    <t>FOR.CHEROKEE-19-39</t>
  </si>
  <si>
    <t>FOR.CHEROKEE-19-40</t>
  </si>
  <si>
    <t>FOR.CHEROKEE-19-41</t>
  </si>
  <si>
    <t>FOR.CHEROKEE-19-42</t>
  </si>
  <si>
    <t>FOR.CHEROKEE-19-43</t>
  </si>
  <si>
    <t>FOR.CHEROKEE-19-44</t>
  </si>
  <si>
    <t>FOR.CHEROKEE-19-45</t>
  </si>
  <si>
    <t>FOR.CHEROKEE-19-46</t>
  </si>
  <si>
    <t>FOR.CHEROKEE-19-47</t>
  </si>
  <si>
    <t>FOR.CHEROKEE-19-48</t>
  </si>
  <si>
    <t>FOR.CHICAGO</t>
  </si>
  <si>
    <t>FOR.CHICAGO-99-35</t>
  </si>
  <si>
    <t>FOR.CHICAGO-99-36</t>
  </si>
  <si>
    <t>FOR.CHICAGO-99-37</t>
  </si>
  <si>
    <t>FOR.CHICAGO-99-38</t>
  </si>
  <si>
    <t>FOR.CHICAGO-99-39</t>
  </si>
  <si>
    <t>FOR.CHICAGO-99-40</t>
  </si>
  <si>
    <t>FOR.CHICAGO-99-41</t>
  </si>
  <si>
    <t>FOR.CHICAGO-99-42</t>
  </si>
  <si>
    <t>FOR.CHICAGO-99-43</t>
  </si>
  <si>
    <t>FOR.CHICAGO-99-44</t>
  </si>
  <si>
    <t>FOR.CHICAGO-99-45</t>
  </si>
  <si>
    <t>FOR.CHICAGO-99-46</t>
  </si>
  <si>
    <t>FOR.CHICAGO-99-47</t>
  </si>
  <si>
    <t>FOR.CHICAGO-99-48</t>
  </si>
  <si>
    <t>FOR.CLEVELAND</t>
  </si>
  <si>
    <t>FOR.CLEVELAND-57-36</t>
  </si>
  <si>
    <t>FOR.CLEVELAND-57-37</t>
  </si>
  <si>
    <t>FOR.CLEVELAND-57-38</t>
  </si>
  <si>
    <t>FOR.CLEVELAND-57-39</t>
  </si>
  <si>
    <t>FOR.CLEVELAND-57-40</t>
  </si>
  <si>
    <t>FOR.CLEVELAND-57-41</t>
  </si>
  <si>
    <t>FOR.CLEVELAND-57-42</t>
  </si>
  <si>
    <t>FOR.CLEVELAND-57-43</t>
  </si>
  <si>
    <t>FOR.CLEVELAND-57-44</t>
  </si>
  <si>
    <t>FOR.CLEVELAND-57-45</t>
  </si>
  <si>
    <t>FOR.CLEVELAND-57-46</t>
  </si>
  <si>
    <t>FOR.CLEVELAND-57-47</t>
  </si>
  <si>
    <t>FOR.CLEVELAND-57-48</t>
  </si>
  <si>
    <t>FOR.COLORADO</t>
  </si>
  <si>
    <t>FOR.COLORADO-99-35</t>
  </si>
  <si>
    <t>FOR.COLORADO-99-36</t>
  </si>
  <si>
    <t>FOR.COLORADO-99-37</t>
  </si>
  <si>
    <t>FOR.COLORADO-99-38</t>
  </si>
  <si>
    <t>FOR.COLORADO-99-39</t>
  </si>
  <si>
    <t>FOR.COLORADO-99-40</t>
  </si>
  <si>
    <t>FOR.COLORADO-99-41</t>
  </si>
  <si>
    <t>FOR.COLORADO-99-42</t>
  </si>
  <si>
    <t>FOR.COLORADO-99-43</t>
  </si>
  <si>
    <t>FOR.COLORADO-99-44</t>
  </si>
  <si>
    <t>FOR.COLORADO-99-45</t>
  </si>
  <si>
    <t>FOR.COLORADO-99-46</t>
  </si>
  <si>
    <t>FOR.COLORADO-99-47</t>
  </si>
  <si>
    <t>FOR.COLORADO-99-48</t>
  </si>
  <si>
    <t>FOR.COLUMBIA</t>
  </si>
  <si>
    <t>FOR.COLUMBIA-99-35</t>
  </si>
  <si>
    <t>FOR.COLUMBIA-99-36</t>
  </si>
  <si>
    <t>FOR.COLUMBIA-99-37</t>
  </si>
  <si>
    <t>FOR.COLUMBIA-99-38</t>
  </si>
  <si>
    <t>FOR.COLUMBIA-99-39</t>
  </si>
  <si>
    <t>FOR.COLUMBIA-99-40</t>
  </si>
  <si>
    <t>FOR.COLUMBIA-99-41</t>
  </si>
  <si>
    <t>FOR.COLUMBIA-99-42</t>
  </si>
  <si>
    <t>FOR.COLUMBIA-99-43</t>
  </si>
  <si>
    <t>FOR.COLUMBIA-99-44</t>
  </si>
  <si>
    <t>FOR.COLUMBIA-99-45</t>
  </si>
  <si>
    <t>FOR.COLUMBIA-99-46</t>
  </si>
  <si>
    <t>FOR.COLUMBIA-99-47</t>
  </si>
  <si>
    <t>FOR.COLUMBIA-99-48</t>
  </si>
  <si>
    <t>FOR.DELTA</t>
  </si>
  <si>
    <t>FOR.DELTA-00-35</t>
  </si>
  <si>
    <t>FOR.DELTA-00-36</t>
  </si>
  <si>
    <t>FOR.DELTA-00-37</t>
  </si>
  <si>
    <t>FOR.DELTA-00-38</t>
  </si>
  <si>
    <t>FOR.DELTA-00-39</t>
  </si>
  <si>
    <t>FOR.DELTA-00-40</t>
  </si>
  <si>
    <t>FOR.DELTA-00-41</t>
  </si>
  <si>
    <t>FOR.DELTA-00-42</t>
  </si>
  <si>
    <t>FOR.DELTA-00-43</t>
  </si>
  <si>
    <t>FOR.DELTA-00-44</t>
  </si>
  <si>
    <t>FOR.DELTA-00-45</t>
  </si>
  <si>
    <t>FOR.DELTA-00-46</t>
  </si>
  <si>
    <t>FOR.DELTA-00-47</t>
  </si>
  <si>
    <t>FOR.DELTA-00-48</t>
  </si>
  <si>
    <t>FOR.DENVER</t>
  </si>
  <si>
    <t>FOR.DENVER-99-35</t>
  </si>
  <si>
    <t>FOR.DENVER-99-36</t>
  </si>
  <si>
    <t>FOR.DENVER-99-37</t>
  </si>
  <si>
    <t>FOR.DENVER-99-38</t>
  </si>
  <si>
    <t>FOR.DENVER-99-39</t>
  </si>
  <si>
    <t>FOR.DENVER-99-40</t>
  </si>
  <si>
    <t>FOR.DENVER-99-41</t>
  </si>
  <si>
    <t>FOR.DENVER-99-42</t>
  </si>
  <si>
    <t>FOR.DENVER-99-43</t>
  </si>
  <si>
    <t>FOR.DENVER-99-44</t>
  </si>
  <si>
    <t>FOR.DENVER-99-45</t>
  </si>
  <si>
    <t>FOR.DENVER-99-46</t>
  </si>
  <si>
    <t>FOR.DENVER-99-47</t>
  </si>
  <si>
    <t>FOR.DENVER-99-48</t>
  </si>
  <si>
    <t>FOR.DETROIT</t>
  </si>
  <si>
    <t>FOR.DETROIT-99-36</t>
  </si>
  <si>
    <t>FOR.DETROIT-99-37</t>
  </si>
  <si>
    <t>FOR.DETROIT-99-38</t>
  </si>
  <si>
    <t>FOR.DETROIT-99-39</t>
  </si>
  <si>
    <t>FOR.DETROIT-99-40</t>
  </si>
  <si>
    <t>FOR.DETROIT-99-41</t>
  </si>
  <si>
    <t>FOR.DETROIT-99-42</t>
  </si>
  <si>
    <t>FOR.DETROIT-99-43</t>
  </si>
  <si>
    <t>FOR.DETROIT-99-44</t>
  </si>
  <si>
    <t>FOR.DETROIT-99-45</t>
  </si>
  <si>
    <t>FOR.DETROIT-99-46</t>
  </si>
  <si>
    <t>FOR.DETROIT-99-47</t>
  </si>
  <si>
    <t>FOR.DOVERBL</t>
  </si>
  <si>
    <t>FOR.DOVERBL-00-35</t>
  </si>
  <si>
    <t>FOR.DOVERBL-00-36</t>
  </si>
  <si>
    <t>FOR.DOVERBL-00-37</t>
  </si>
  <si>
    <t>FOR.DOVERBL-00-38</t>
  </si>
  <si>
    <t>FOR.DOVERBL-00-39</t>
  </si>
  <si>
    <t>FOR.DOVERBL-00-40</t>
  </si>
  <si>
    <t>FOR.DOVERBL-00-41</t>
  </si>
  <si>
    <t>FOR.DOVERBL-00-42</t>
  </si>
  <si>
    <t>FOR.DOVERBL-00-43</t>
  </si>
  <si>
    <t>FOR.DOVERBL-00-44</t>
  </si>
  <si>
    <t>FOR.DOVERBL-00-45</t>
  </si>
  <si>
    <t>FOR.DOVERBL-00-46</t>
  </si>
  <si>
    <t>FOR.DOVERBL-00-47</t>
  </si>
  <si>
    <t>FOR.DOVERBL-00-48</t>
  </si>
  <si>
    <t>FOR.DOVERNG</t>
  </si>
  <si>
    <t>FOR.DOVERNG-99-35</t>
  </si>
  <si>
    <t>FOR.DOVERNG-99-36</t>
  </si>
  <si>
    <t>FOR.DOVERNG-99-37</t>
  </si>
  <si>
    <t>FOR.DOVERNG-99-38</t>
  </si>
  <si>
    <t>FOR.DOVERNG-99-39</t>
  </si>
  <si>
    <t>FOR.DOVERNG-99-40</t>
  </si>
  <si>
    <t>FOR.DOVERNG-99-41</t>
  </si>
  <si>
    <t>FOR.DOVERNG-99-42</t>
  </si>
  <si>
    <t>FOR.DOVERNG-99-43</t>
  </si>
  <si>
    <t>FOR.DOVERNG-99-44</t>
  </si>
  <si>
    <t>FOR.DOVERNG-99-45</t>
  </si>
  <si>
    <t>FOR.DOVERNG-99-46</t>
  </si>
  <si>
    <t>FOR.DOVERNG-99-47</t>
  </si>
  <si>
    <t>FOR.DOVERNG-99-48</t>
  </si>
  <si>
    <t>FOR.FARGO</t>
  </si>
  <si>
    <t>FOR.FARGO-00-35</t>
  </si>
  <si>
    <t>FOR.FARGO-00-36</t>
  </si>
  <si>
    <t>FOR.FARGO-00-37</t>
  </si>
  <si>
    <t>FOR.FARGO-00-38</t>
  </si>
  <si>
    <t>FOR.FARGO-00-39</t>
  </si>
  <si>
    <t>FOR.FARGO-00-40</t>
  </si>
  <si>
    <t>FOR.FARGO-00-41</t>
  </si>
  <si>
    <t>FOR.FARGO-00-42</t>
  </si>
  <si>
    <t>FOR.FARGO-00-43</t>
  </si>
  <si>
    <t>FOR.FARGO-00-44</t>
  </si>
  <si>
    <t>FOR.FARGO-00-45</t>
  </si>
  <si>
    <t>FOR.FARGO-00-46</t>
  </si>
  <si>
    <t>FOR.FARGO-00-47</t>
  </si>
  <si>
    <t>FOR.FARGO-00-48</t>
  </si>
  <si>
    <t>FOR.FLORIDA</t>
  </si>
  <si>
    <t>FOR.FLORIDA-99-34</t>
  </si>
  <si>
    <t>FOR.FLORIDA-99-35</t>
  </si>
  <si>
    <t>FOR.FLORIDA-99-36</t>
  </si>
  <si>
    <t>FOR.FLORIDA-99-37</t>
  </si>
  <si>
    <t>FOR.FLORIDA-99-38</t>
  </si>
  <si>
    <t>FOR.FLORIDA-99-39</t>
  </si>
  <si>
    <t>FOR.FLORIDA-99-40</t>
  </si>
  <si>
    <t>FOR.FLORIDA-99-41</t>
  </si>
  <si>
    <t>FOR.FRESNO</t>
  </si>
  <si>
    <t>FOR.FRESNO-00-35</t>
  </si>
  <si>
    <t>FOR.FRESNO-00-36</t>
  </si>
  <si>
    <t>FOR.FRESNO-00-37</t>
  </si>
  <si>
    <t>FOR.FRESNO-00-38</t>
  </si>
  <si>
    <t>FOR.FRESNO-00-39</t>
  </si>
  <si>
    <t>FOR.FRESNO-00-40</t>
  </si>
  <si>
    <t>FOR.FRESNO-00-41</t>
  </si>
  <si>
    <t>FOR.FRESNO-00-42</t>
  </si>
  <si>
    <t>FOR.FRESNO-00-43</t>
  </si>
  <si>
    <t>FOR.FRESNO-00-44</t>
  </si>
  <si>
    <t>FOR.FRESNO-00-45</t>
  </si>
  <si>
    <t>FOR.FRESNO-00-46</t>
  </si>
  <si>
    <t>FOR.FRESNO-00-47</t>
  </si>
  <si>
    <t>FOR.FRESNO-00-48</t>
  </si>
  <si>
    <t>FOR.HARLEM</t>
  </si>
  <si>
    <t>FOR.HARLEM-43-35</t>
  </si>
  <si>
    <t>FOR.HARLEM-43-36</t>
  </si>
  <si>
    <t>FOR.HARLEM-43-37</t>
  </si>
  <si>
    <t>FOR.HARLEM-43-38</t>
  </si>
  <si>
    <t>FOR.HARLEM-43-39</t>
  </si>
  <si>
    <t>FOR.HARLEM-43-40</t>
  </si>
  <si>
    <t>FOR.HARLEM-43-41</t>
  </si>
  <si>
    <t>FOR.HARLEM-43-42</t>
  </si>
  <si>
    <t>FOR.HARLEM-43-43</t>
  </si>
  <si>
    <t>FOR.HARLEM-43-44</t>
  </si>
  <si>
    <t>FOR.HARLEM-43-45</t>
  </si>
  <si>
    <t>FOR.HARLEM-43-46</t>
  </si>
  <si>
    <t>FOR.HARLEM-43-47</t>
  </si>
  <si>
    <t>FOR.HARLEM-43-48</t>
  </si>
  <si>
    <t>FOR.HOUSTONAM</t>
  </si>
  <si>
    <t>FOR.HOUSTONAM-15-35</t>
  </si>
  <si>
    <t>FOR.HOUSTONAM-15-36</t>
  </si>
  <si>
    <t>FOR.HOUSTONAM-15-37</t>
  </si>
  <si>
    <t>FOR.HOUSTONAM-15-38</t>
  </si>
  <si>
    <t>FOR.HOUSTONAM-15-39</t>
  </si>
  <si>
    <t>FOR.HOUSTONAM-15-40</t>
  </si>
  <si>
    <t>FOR.HOUSTONAM-15-41</t>
  </si>
  <si>
    <t>FOR.HOUSTONAM-15-42</t>
  </si>
  <si>
    <t>FOR.HOUSTONAM-15-43</t>
  </si>
  <si>
    <t>FOR.HOUSTONAM-15-44</t>
  </si>
  <si>
    <t>FOR.HOUSTONAM-15-45</t>
  </si>
  <si>
    <t>FOR.HOUSTONAM-15-46</t>
  </si>
  <si>
    <t>FOR.HOUSTONAM-15-47</t>
  </si>
  <si>
    <t>FOR.HOUSTONAM-15-48</t>
  </si>
  <si>
    <t>FOR.HOUSTONAZ</t>
  </si>
  <si>
    <t>FOR.HOUSTONAZ-75-35</t>
  </si>
  <si>
    <t>FOR.HOUSTONAZ-75-36</t>
  </si>
  <si>
    <t>FOR.HOUSTONAZ-75-37</t>
  </si>
  <si>
    <t>FOR.HOUSTONAZ-75-38</t>
  </si>
  <si>
    <t>FOR.HOUSTONAZ-75-39</t>
  </si>
  <si>
    <t>FOR.HOUSTONAZ-75-40</t>
  </si>
  <si>
    <t>FOR.HOUSTONAZ-75-41</t>
  </si>
  <si>
    <t>FOR.HOUSTONAZ-75-42</t>
  </si>
  <si>
    <t>FOR.HOUSTONAZ-75-43</t>
  </si>
  <si>
    <t>FOR.HOUSTONAZ-75-44</t>
  </si>
  <si>
    <t>FOR.HOUSTONAZ-75-45</t>
  </si>
  <si>
    <t>FOR.HOUSTONAZ-75-46</t>
  </si>
  <si>
    <t>FOR.HOUSTONAZ-75-47</t>
  </si>
  <si>
    <t>FOR.HOUSTONAZ-75-48</t>
  </si>
  <si>
    <t>FOR.INDIANA</t>
  </si>
  <si>
    <t>FOR.INDIANA-99-35</t>
  </si>
  <si>
    <t>FOR.INDIANA-99-36</t>
  </si>
  <si>
    <t>FOR.INDIANA-99-37</t>
  </si>
  <si>
    <t>FOR.INDIANA-99-38</t>
  </si>
  <si>
    <t>FOR.INDIANA-99-39</t>
  </si>
  <si>
    <t>FOR.INDIANA-99-40</t>
  </si>
  <si>
    <t>FOR.INDIANA-99-41</t>
  </si>
  <si>
    <t>FOR.INDIANA-99-42</t>
  </si>
  <si>
    <t>FOR.INDIANA-99-43</t>
  </si>
  <si>
    <t>FOR.INDIANA-99-44</t>
  </si>
  <si>
    <t>FOR.INDIANA-99-45</t>
  </si>
  <si>
    <t>FOR.INDIANA-99-46</t>
  </si>
  <si>
    <t>FOR.INDIANA-99-47</t>
  </si>
  <si>
    <t>FOR.INDIANA-99-48</t>
  </si>
  <si>
    <t>FOR.INDIANA-99-49</t>
  </si>
  <si>
    <t>FOR.INDIANA-99-50</t>
  </si>
  <si>
    <t>FOR.KANSAS</t>
  </si>
  <si>
    <t>FOR.KANSAS-94-35</t>
  </si>
  <si>
    <t>FOR.KANSAS-94-36</t>
  </si>
  <si>
    <t>FOR.KANSAS-94-37</t>
  </si>
  <si>
    <t>FOR.KANSAS-94-38</t>
  </si>
  <si>
    <t>FOR.KANSAS-94-39</t>
  </si>
  <si>
    <t>FOR.KANSAS-94-40</t>
  </si>
  <si>
    <t>FOR.KANSAS-94-41</t>
  </si>
  <si>
    <t>FOR.KANSAS-94-42</t>
  </si>
  <si>
    <t>FOR.KANSAS-94-43</t>
  </si>
  <si>
    <t>FOR.KANSAS-94-44</t>
  </si>
  <si>
    <t>FOR.KANSAS-94-45</t>
  </si>
  <si>
    <t>FOR.KANSAS-94-46</t>
  </si>
  <si>
    <t>FOR.KANSAS-94-47</t>
  </si>
  <si>
    <t>FOR.KANSAS-94-48</t>
  </si>
  <si>
    <t>FOR.MEMPHIS</t>
  </si>
  <si>
    <t>FOR.MEMPHIS-99-35</t>
  </si>
  <si>
    <t>FOR.MEMPHIS-99-36</t>
  </si>
  <si>
    <t>FOR.MEMPHIS-99-37</t>
  </si>
  <si>
    <t>FOR.MEMPHIS-99-38</t>
  </si>
  <si>
    <t>FOR.MEMPHIS-99-39</t>
  </si>
  <si>
    <t>FOR.MEMPHIS-99-40</t>
  </si>
  <si>
    <t>FOR.MEMPHIS-99-41</t>
  </si>
  <si>
    <t>FOR.MEMPHIS-99-42</t>
  </si>
  <si>
    <t>FOR.MEMPHIS-99-43</t>
  </si>
  <si>
    <t>FOR.MEMPHIS-99-44</t>
  </si>
  <si>
    <t>FOR.MEMPHIS-99-45</t>
  </si>
  <si>
    <t>FOR.MEMPHIS-99-46</t>
  </si>
  <si>
    <t>FOR.MEMPHIS-99-47</t>
  </si>
  <si>
    <t>FOR.MEMPHIS-99-48</t>
  </si>
  <si>
    <t>FOR.MEMPHIS-99-49</t>
  </si>
  <si>
    <t>FOR.MEMPHIS-99-50</t>
  </si>
  <si>
    <t>FOR.MIAMI</t>
  </si>
  <si>
    <t>FOR.MIAMI-99-35</t>
  </si>
  <si>
    <t>FOR.MIAMI-99-36</t>
  </si>
  <si>
    <t>FOR.MIAMI-99-37</t>
  </si>
  <si>
    <t>FOR.MIAMI-99-38</t>
  </si>
  <si>
    <t>FOR.MIAMI-99-39</t>
  </si>
  <si>
    <t>FOR.MIAMI-99-40</t>
  </si>
  <si>
    <t>FOR.MIAMI-99-41</t>
  </si>
  <si>
    <t>FOR.MIAMI-99-42</t>
  </si>
  <si>
    <t>FOR.MIAMI-99-43</t>
  </si>
  <si>
    <t>FOR.MIAMI-99-44</t>
  </si>
  <si>
    <t>FOR.MIAMI-99-45</t>
  </si>
  <si>
    <t>FOR.MIAMI-99-46</t>
  </si>
  <si>
    <t>FOR.MIAMI-99-47</t>
  </si>
  <si>
    <t>FOR.MIAMI-99-48</t>
  </si>
  <si>
    <t>FOR.MICHIGAN</t>
  </si>
  <si>
    <t>FOR.MICHIGAN-99-35</t>
  </si>
  <si>
    <t>FOR.MICHIGAN-99-36</t>
  </si>
  <si>
    <t>FOR.MICHIGAN-99-37</t>
  </si>
  <si>
    <t>FOR.MICHIGAN-99-38</t>
  </si>
  <si>
    <t>FOR.MICHIGAN-99-39</t>
  </si>
  <si>
    <t>FOR.MICHIGAN-99-40</t>
  </si>
  <si>
    <t>FOR.MICHIGAN-99-41</t>
  </si>
  <si>
    <t>FOR.MICHIGAN-99-42</t>
  </si>
  <si>
    <t>FOR.MICHIGAN-99-43</t>
  </si>
  <si>
    <t>FOR.MICHIGAN-99-44</t>
  </si>
  <si>
    <t>FOR.MICHIGAN-99-45</t>
  </si>
  <si>
    <t>FOR.MICHIGAN-99-46</t>
  </si>
  <si>
    <t>FOR.MICHIGAN-99-47</t>
  </si>
  <si>
    <t>FOR.MICHIGAN-99-48</t>
  </si>
  <si>
    <t>FOR.NEVADA</t>
  </si>
  <si>
    <t>FOR.NEVADA-99-35</t>
  </si>
  <si>
    <t>FOR.NEVADA-99-36</t>
  </si>
  <si>
    <t>FOR.NEVADA-99-37</t>
  </si>
  <si>
    <t>FOR.NEVADA-99-38</t>
  </si>
  <si>
    <t>FOR.NEVADA-99-39</t>
  </si>
  <si>
    <t>FOR.NEVADA-99-40</t>
  </si>
  <si>
    <t>FOR.NEVADA-99-41</t>
  </si>
  <si>
    <t>FOR.NEVADA-99-42</t>
  </si>
  <si>
    <t>FOR.NEVADA-99-43</t>
  </si>
  <si>
    <t>FOR.NEVADA-99-44</t>
  </si>
  <si>
    <t>FOR.NEVADA-99-45</t>
  </si>
  <si>
    <t>FOR.NEVADA-99-46</t>
  </si>
  <si>
    <t>FOR.NEVADA-99-47</t>
  </si>
  <si>
    <t>FOR.NEVADA-99-48</t>
  </si>
  <si>
    <t>FOR.OREGON</t>
  </si>
  <si>
    <t>FOR.OREGON-99-35</t>
  </si>
  <si>
    <t>FOR.OREGON-99-36</t>
  </si>
  <si>
    <t>FOR.OREGON-99-37</t>
  </si>
  <si>
    <t>FOR.OREGON-99-38</t>
  </si>
  <si>
    <t>FOR.OREGON-99-39</t>
  </si>
  <si>
    <t>FOR.OREGON-99-40</t>
  </si>
  <si>
    <t>FOR.OREGON-99-41</t>
  </si>
  <si>
    <t>FOR.OREGON-99-42</t>
  </si>
  <si>
    <t>FOR.OREGON-99-43</t>
  </si>
  <si>
    <t>FOR.OREGON-99-44</t>
  </si>
  <si>
    <t>FOR.OREGON-99-45</t>
  </si>
  <si>
    <t>FOR.OREGON-99-46</t>
  </si>
  <si>
    <t>FOR.OREGON-99-47</t>
  </si>
  <si>
    <t>FOR.OREGON-99-48</t>
  </si>
  <si>
    <t>FOR.OXFORD</t>
  </si>
  <si>
    <t>FOR.OXFORD-99-35</t>
  </si>
  <si>
    <t>FOR.OXFORD-99-36</t>
  </si>
  <si>
    <t>FOR.OXFORD-99-37</t>
  </si>
  <si>
    <t>FOR.OXFORD-99-38</t>
  </si>
  <si>
    <t>FOR.OXFORD-99-39</t>
  </si>
  <si>
    <t>FOR.OXFORD-99-40</t>
  </si>
  <si>
    <t>FOR.OXFORD-99-41</t>
  </si>
  <si>
    <t>FOR.OXFORD-99-42</t>
  </si>
  <si>
    <t>FOR.OXFORD-99-43</t>
  </si>
  <si>
    <t>FOR.OXFORD-99-44</t>
  </si>
  <si>
    <t>FOR.OXFORD-99-45</t>
  </si>
  <si>
    <t>FOR.OXFORD-99-46</t>
  </si>
  <si>
    <t>FOR.OXFORD-99-47</t>
  </si>
  <si>
    <t>FOR.OXFORD-99-48</t>
  </si>
  <si>
    <t>FOR.PHILADELPHIA</t>
  </si>
  <si>
    <t>FOR.PHILADELPHIA-00-35</t>
  </si>
  <si>
    <t>FOR.PHILADELPHIA-00-36</t>
  </si>
  <si>
    <t>FOR.PHILADELPHIA-00-37</t>
  </si>
  <si>
    <t>FOR.PHILADELPHIA-00-38</t>
  </si>
  <si>
    <t>FOR.PHILADELPHIA-00-39</t>
  </si>
  <si>
    <t>FOR.PHILADELPHIA-00-40</t>
  </si>
  <si>
    <t>FOR.PHILADELPHIA-00-41</t>
  </si>
  <si>
    <t>FOR.PHILADELPHIA-00-42</t>
  </si>
  <si>
    <t>FOR.PHILADELPHIA-00-43</t>
  </si>
  <si>
    <t>FOR.PHILADELPHIA-00-44</t>
  </si>
  <si>
    <t>FOR.PHILADELPHIA-00-45</t>
  </si>
  <si>
    <t>FOR.PHILADELPHIA-00-46</t>
  </si>
  <si>
    <t>FOR.PHILADELPHIA-00-47</t>
  </si>
  <si>
    <t>FOR.PHILADELPHIA-00-48</t>
  </si>
  <si>
    <t>FOR.PLANTILLA.PFM</t>
  </si>
  <si>
    <t>FOR.PLANTILLA.PFM-99-35-38</t>
  </si>
  <si>
    <t>35-38</t>
  </si>
  <si>
    <t>FOR.PLANTILLA.PFM-99-39-41</t>
  </si>
  <si>
    <t>39-41</t>
  </si>
  <si>
    <t>FOR.PLANTILLA.PFM-99-42-44</t>
  </si>
  <si>
    <t>42-44</t>
  </si>
  <si>
    <t>FOR.PLANTILLA.PFM-99-45-48</t>
  </si>
  <si>
    <t>45-48</t>
  </si>
  <si>
    <t>FOR.PORTLAND</t>
  </si>
  <si>
    <t>FOR.PORTLAND-99-35</t>
  </si>
  <si>
    <t>FOR.PORTLAND-99-36</t>
  </si>
  <si>
    <t>FOR.PORTLAND-99-37</t>
  </si>
  <si>
    <t>FOR.PORTLAND-99-38</t>
  </si>
  <si>
    <t>FOR.PORTLAND-99-39</t>
  </si>
  <si>
    <t>FOR.PORTLAND-99-40</t>
  </si>
  <si>
    <t>FOR.PORTLAND-99-41</t>
  </si>
  <si>
    <t>FOR.PORTLAND-99-42</t>
  </si>
  <si>
    <t>FOR.PORTLAND-99-43</t>
  </si>
  <si>
    <t>FOR.PORTLAND-99-44</t>
  </si>
  <si>
    <t>FOR.PORTLAND-99-45</t>
  </si>
  <si>
    <t>FOR.PORTLAND-99-46</t>
  </si>
  <si>
    <t>FOR.PORTLAND-99-47</t>
  </si>
  <si>
    <t>FOR.PORTLAND-99-48</t>
  </si>
  <si>
    <t>FOR.RENO</t>
  </si>
  <si>
    <t>FOR.RENO-00-35</t>
  </si>
  <si>
    <t>FOR.RENO-00-36</t>
  </si>
  <si>
    <t>FOR.RENO-00-37</t>
  </si>
  <si>
    <t>FOR.RENO-00-38</t>
  </si>
  <si>
    <t>FOR.RENO-00-39</t>
  </si>
  <si>
    <t>FOR.RENO-00-40</t>
  </si>
  <si>
    <t>FOR.RENO-00-41</t>
  </si>
  <si>
    <t>FOR.RENO-00-42</t>
  </si>
  <si>
    <t>FOR.RENO-00-43</t>
  </si>
  <si>
    <t>FOR.RENO-00-44</t>
  </si>
  <si>
    <t>FOR.RENO-00-45</t>
  </si>
  <si>
    <t>FOR.RENO-00-46</t>
  </si>
  <si>
    <t>FOR.RENO-00-47</t>
  </si>
  <si>
    <t>FOR.RENO-00-48</t>
  </si>
  <si>
    <t>FOR.ROCK</t>
  </si>
  <si>
    <t>FOR.ROCK-99-35</t>
  </si>
  <si>
    <t>FOR.ROCK-99-36</t>
  </si>
  <si>
    <t>FOR.ROCK-99-37</t>
  </si>
  <si>
    <t>FOR.ROCK-99-38</t>
  </si>
  <si>
    <t>FOR.ROCK-99-39</t>
  </si>
  <si>
    <t>FOR.ROCK-99-40</t>
  </si>
  <si>
    <t>FOR.ROCK-99-41</t>
  </si>
  <si>
    <t>FOR.ROCK-99-42</t>
  </si>
  <si>
    <t>FOR.ROCK-99-43</t>
  </si>
  <si>
    <t>FOR.ROCK-99-44</t>
  </si>
  <si>
    <t>FOR.ROCK-99-45</t>
  </si>
  <si>
    <t>FOR.ROCK-99-46</t>
  </si>
  <si>
    <t>FOR.ROCK-99-47</t>
  </si>
  <si>
    <t>FOR.ROCK-99-48</t>
  </si>
  <si>
    <t>FOR.SAVANNAH</t>
  </si>
  <si>
    <t>FOR.SAVANNAH-99-35</t>
  </si>
  <si>
    <t>FOR.SAVANNAH-99-36</t>
  </si>
  <si>
    <t>FOR.SAVANNAH-99-37</t>
  </si>
  <si>
    <t>FOR.SAVANNAH-99-38</t>
  </si>
  <si>
    <t>FOR.SAVANNAH-99-39</t>
  </si>
  <si>
    <t>FOR.SAVANNAH-99-40</t>
  </si>
  <si>
    <t>FOR.SAVANNAH-99-41</t>
  </si>
  <si>
    <t>FOR.SAVANNAH-99-42</t>
  </si>
  <si>
    <t>FOR.SAVANNAH-99-43</t>
  </si>
  <si>
    <t>FOR.SAVANNAH-99-44</t>
  </si>
  <si>
    <t>FOR.SAVANNAH-99-45</t>
  </si>
  <si>
    <t>FOR.SAVANNAH-99-46</t>
  </si>
  <si>
    <t>FOR.SAVANNAH-99-47</t>
  </si>
  <si>
    <t>FOR.SAVANNAH-99-48</t>
  </si>
  <si>
    <t>FOR.SIDNEY</t>
  </si>
  <si>
    <t>FOR.SIDNEY-99-35</t>
  </si>
  <si>
    <t>FOR.SIDNEY-99-36</t>
  </si>
  <si>
    <t>FOR.SIDNEY-99-37</t>
  </si>
  <si>
    <t>FOR.SIDNEY-99-38</t>
  </si>
  <si>
    <t>FOR.SIDNEY-99-39</t>
  </si>
  <si>
    <t>FOR.SIDNEY-99-40</t>
  </si>
  <si>
    <t>FOR.SIDNEY-99-41</t>
  </si>
  <si>
    <t>FOR.SIDNEY-99-42</t>
  </si>
  <si>
    <t>FOR.SIDNEY-99-43</t>
  </si>
  <si>
    <t>FOR.SIDNEY-99-44</t>
  </si>
  <si>
    <t>FOR.SIDNEY-99-45</t>
  </si>
  <si>
    <t>FOR.SIDNEY-99-46</t>
  </si>
  <si>
    <t>FOR.SIDNEY-99-47</t>
  </si>
  <si>
    <t>FOR.SIDNEY-99-48</t>
  </si>
  <si>
    <t>FOR.SIOUX</t>
  </si>
  <si>
    <t>FOR.SIOUX-99-35</t>
  </si>
  <si>
    <t>FOR.SIOUX-99-36</t>
  </si>
  <si>
    <t>FOR.SIOUX-99-37</t>
  </si>
  <si>
    <t>FOR.SIOUX-99-38</t>
  </si>
  <si>
    <t>FOR.SIOUX-99-39</t>
  </si>
  <si>
    <t>FOR.SIOUX-99-40</t>
  </si>
  <si>
    <t>FOR.SIOUX-99-41</t>
  </si>
  <si>
    <t>FOR.SIOUX-99-42</t>
  </si>
  <si>
    <t>FOR.SIOUX-99-43</t>
  </si>
  <si>
    <t>FOR.SIOUX-99-44</t>
  </si>
  <si>
    <t>FOR.SIOUX-99-45</t>
  </si>
  <si>
    <t>FOR.SIOUX-99-46</t>
  </si>
  <si>
    <t>FOR.SIOUX-99-47</t>
  </si>
  <si>
    <t>FOR.SIOUX-99-48</t>
  </si>
  <si>
    <t>FOR.TEXAS</t>
  </si>
  <si>
    <t>FOR.TEXAS-94-35</t>
  </si>
  <si>
    <t>FOR.TEXAS-94-36</t>
  </si>
  <si>
    <t>FOR.TEXAS-94-37</t>
  </si>
  <si>
    <t>FOR.TEXAS-94-38</t>
  </si>
  <si>
    <t>FOR.TEXAS-94-39</t>
  </si>
  <si>
    <t>FOR.TEXAS-94-40</t>
  </si>
  <si>
    <t>FOR.TEXAS-94-41</t>
  </si>
  <si>
    <t>FOR.TEXAS-94-42</t>
  </si>
  <si>
    <t>FOR.TEXAS-94-43</t>
  </si>
  <si>
    <t>FOR.TEXAS-94-44</t>
  </si>
  <si>
    <t>FOR.TEXAS-94-45</t>
  </si>
  <si>
    <t>FOR.TEXAS-94-46</t>
  </si>
  <si>
    <t>FOR.TEXAS-94-47</t>
  </si>
  <si>
    <t>FOR.TEXAS-94-48</t>
  </si>
  <si>
    <t>FOR.TUCSON</t>
  </si>
  <si>
    <t>FOR.TUCSON-99-35</t>
  </si>
  <si>
    <t>FOR.TUCSON-99-36</t>
  </si>
  <si>
    <t>FOR.TUCSON-99-37</t>
  </si>
  <si>
    <t>FOR.TUCSON-99-38</t>
  </si>
  <si>
    <t>FOR.TUCSON-99-39</t>
  </si>
  <si>
    <t>FOR.TUCSON-99-40</t>
  </si>
  <si>
    <t>FOR.TUCSON-99-41</t>
  </si>
  <si>
    <t>FOR.TUCSON-99-42</t>
  </si>
  <si>
    <t>FOR.TUCSON-99-43</t>
  </si>
  <si>
    <t>FOR.TUCSON-99-44</t>
  </si>
  <si>
    <t>FOR.TUCSON-99-45</t>
  </si>
  <si>
    <t>FOR.TUCSON-99-46</t>
  </si>
  <si>
    <t>FOR.TUCSON-99-47</t>
  </si>
  <si>
    <t>FOR.TUCSON-99-48</t>
  </si>
  <si>
    <t>FOR.VEGAS</t>
  </si>
  <si>
    <t>FOR.VEGAS-99-35</t>
  </si>
  <si>
    <t>FOR.VEGAS-99-36</t>
  </si>
  <si>
    <t>FOR.VEGAS-99-37</t>
  </si>
  <si>
    <t>FOR.VEGAS-99-38</t>
  </si>
  <si>
    <t>FOR.VEGAS-99-39</t>
  </si>
  <si>
    <t>FOR.VEGAS-99-40</t>
  </si>
  <si>
    <t>FOR.VEGAS-99-41</t>
  </si>
  <si>
    <t>FOR.VEGAS-99-42</t>
  </si>
  <si>
    <t>FOR.VEGAS-99-43</t>
  </si>
  <si>
    <t>FOR.VEGAS-99-44</t>
  </si>
  <si>
    <t>FOR.VEGAS-99-45</t>
  </si>
  <si>
    <t>FOR.VEGAS-99-46</t>
  </si>
  <si>
    <t>FOR.VEGAS-99-47</t>
  </si>
  <si>
    <t>FOR.VEGAS-99-48</t>
  </si>
  <si>
    <t>FOR.VIRGINIA</t>
  </si>
  <si>
    <t>FOR.VIRGINIA-99-35</t>
  </si>
  <si>
    <t>FOR.VIRGINIA-99-36</t>
  </si>
  <si>
    <t>FOR.VIRGINIA-99-37</t>
  </si>
  <si>
    <t>FOR.VIRGINIA-99-38</t>
  </si>
  <si>
    <t>FOR.VIRGINIA-99-39</t>
  </si>
  <si>
    <t>FOR.VIRGINIA-99-40</t>
  </si>
  <si>
    <t>FOR.VIRGINIA-99-41</t>
  </si>
  <si>
    <t>FOR.VIRGINIA-99-42</t>
  </si>
  <si>
    <t>FOR.VIRGINIA-99-43</t>
  </si>
  <si>
    <t>FOR.VIRGINIA-99-44</t>
  </si>
  <si>
    <t>FOR.VIRGINIA-99-45</t>
  </si>
  <si>
    <t>FOR.VIRGINIA-99-46</t>
  </si>
  <si>
    <t>FOR.VIRGINIA-99-47</t>
  </si>
  <si>
    <t>FOR.VIRGINIA-99-48</t>
  </si>
  <si>
    <t>FOR.YORKBL</t>
  </si>
  <si>
    <t>FOR.YORKBL-00-35</t>
  </si>
  <si>
    <t>FOR.YORKBL-00-36</t>
  </si>
  <si>
    <t>FOR.YORKBL-00-37</t>
  </si>
  <si>
    <t>FOR.YORKBL-00-38</t>
  </si>
  <si>
    <t>FOR.YORKBL-00-39</t>
  </si>
  <si>
    <t>FOR.YORKBL-00-40</t>
  </si>
  <si>
    <t>FOR.YORKBL-00-41</t>
  </si>
  <si>
    <t>FOR.YORKBL-00-42</t>
  </si>
  <si>
    <t>FOR.YORKBL-00-43</t>
  </si>
  <si>
    <t>FOR.YORKBL-00-44</t>
  </si>
  <si>
    <t>FOR.YORKBL-00-45</t>
  </si>
  <si>
    <t>FOR.YORKBL-00-46</t>
  </si>
  <si>
    <t>FOR.YORKBL-00-47</t>
  </si>
  <si>
    <t>FOR.YORKBL-00-48</t>
  </si>
  <si>
    <t>FOR.YORKNG</t>
  </si>
  <si>
    <t>FOR.YORKNG-99-35</t>
  </si>
  <si>
    <t>FOR.YORKNG-99-36</t>
  </si>
  <si>
    <t>FOR.YORKNG-99-37</t>
  </si>
  <si>
    <t>FOR.YORKNG-99-38</t>
  </si>
  <si>
    <t>FOR.YORKNG-99-39</t>
  </si>
  <si>
    <t>FOR.YORKNG-99-40</t>
  </si>
  <si>
    <t>FOR.YORKNG-99-41</t>
  </si>
  <si>
    <t>FOR.YORKNG-99-42</t>
  </si>
  <si>
    <t>FOR.YORKNG-99-43</t>
  </si>
  <si>
    <t>FOR.YORKNG-99-44</t>
  </si>
  <si>
    <t>FOR.YORKNG-99-45</t>
  </si>
  <si>
    <t>FOR.YORKNG-99-46</t>
  </si>
  <si>
    <t>FOR.YORKNG-99-47</t>
  </si>
  <si>
    <t>FOR.YORKNG-99-48</t>
  </si>
  <si>
    <t>EAN13</t>
  </si>
  <si>
    <t>DUN14</t>
  </si>
  <si>
    <t>18457780310710</t>
  </si>
  <si>
    <t>18457780310727</t>
  </si>
  <si>
    <t>18457780310734</t>
  </si>
  <si>
    <t>18457780310741</t>
  </si>
  <si>
    <t>18457780310758</t>
  </si>
  <si>
    <t>18457780310765</t>
  </si>
  <si>
    <t>18457780310772</t>
  </si>
  <si>
    <t>18457780310789</t>
  </si>
  <si>
    <t>18457780310796</t>
  </si>
  <si>
    <t>18457780310802</t>
  </si>
  <si>
    <t>18457780310819</t>
  </si>
  <si>
    <t>18457780310826</t>
  </si>
  <si>
    <t>18457780310833</t>
  </si>
  <si>
    <t>18457780310840</t>
  </si>
  <si>
    <t>18457780336987</t>
  </si>
  <si>
    <t>18457780336994</t>
  </si>
  <si>
    <t>18457780337007</t>
  </si>
  <si>
    <t>18457780337014</t>
  </si>
  <si>
    <t>18457780337021</t>
  </si>
  <si>
    <t>18457780337038</t>
  </si>
  <si>
    <t>18457780337045</t>
  </si>
  <si>
    <t>18457780337052</t>
  </si>
  <si>
    <t>18457780337069</t>
  </si>
  <si>
    <t>18457780337076</t>
  </si>
  <si>
    <t>18457780337083</t>
  </si>
  <si>
    <t>18457780337090</t>
  </si>
  <si>
    <t>18457780337106</t>
  </si>
  <si>
    <t>18457780337113</t>
  </si>
  <si>
    <t>18457780304009</t>
  </si>
  <si>
    <t>18457780268844</t>
  </si>
  <si>
    <t>18457780268851</t>
  </si>
  <si>
    <t>18457780268868</t>
  </si>
  <si>
    <t>18457780268875</t>
  </si>
  <si>
    <t>18457780268882</t>
  </si>
  <si>
    <t>18457780268899</t>
  </si>
  <si>
    <t>18457780268905</t>
  </si>
  <si>
    <t>18457780268912</t>
  </si>
  <si>
    <t>18457780268929</t>
  </si>
  <si>
    <t>18457780268936</t>
  </si>
  <si>
    <t>18457780268943</t>
  </si>
  <si>
    <t>18457780268950</t>
  </si>
  <si>
    <t>18457780304016</t>
  </si>
  <si>
    <t>18457780313940</t>
  </si>
  <si>
    <t>18457780313957</t>
  </si>
  <si>
    <t>18457780313964</t>
  </si>
  <si>
    <t>18457780313971</t>
  </si>
  <si>
    <t>18457780313988</t>
  </si>
  <si>
    <t>18457780313995</t>
  </si>
  <si>
    <t>18457780314008</t>
  </si>
  <si>
    <t>18457780314015</t>
  </si>
  <si>
    <t>18457780314022</t>
  </si>
  <si>
    <t>18457780314039</t>
  </si>
  <si>
    <t>18457780314046</t>
  </si>
  <si>
    <t>18457780314053</t>
  </si>
  <si>
    <t>18457780314060</t>
  </si>
  <si>
    <t>18457780314077</t>
  </si>
  <si>
    <t>28457780321898</t>
  </si>
  <si>
    <t>28457780321904</t>
  </si>
  <si>
    <t>28457780321911</t>
  </si>
  <si>
    <t>28457780321928</t>
  </si>
  <si>
    <t>28457780321935</t>
  </si>
  <si>
    <t>28457780321942</t>
  </si>
  <si>
    <t>28457780321959</t>
  </si>
  <si>
    <t>28457780321966</t>
  </si>
  <si>
    <t>28457780321973</t>
  </si>
  <si>
    <t>28457780321980</t>
  </si>
  <si>
    <t>28457780321997</t>
  </si>
  <si>
    <t>28457780322000</t>
  </si>
  <si>
    <t>28457780322017</t>
  </si>
  <si>
    <t>18457780303903</t>
  </si>
  <si>
    <t>18457780267762</t>
  </si>
  <si>
    <t>18457780267779</t>
  </si>
  <si>
    <t>18457780267786</t>
  </si>
  <si>
    <t>18457780267793</t>
  </si>
  <si>
    <t>18457780267809</t>
  </si>
  <si>
    <t>18457780267816</t>
  </si>
  <si>
    <t>18457780267823</t>
  </si>
  <si>
    <t>18457780267830</t>
  </si>
  <si>
    <t>18457780267847</t>
  </si>
  <si>
    <t>18457780267854</t>
  </si>
  <si>
    <t>18457780267861</t>
  </si>
  <si>
    <t>18457780267878</t>
  </si>
  <si>
    <t>18457780303910</t>
  </si>
  <si>
    <t>18457780336703</t>
  </si>
  <si>
    <t>18457780336710</t>
  </si>
  <si>
    <t>18457780336727</t>
  </si>
  <si>
    <t>18457780336734</t>
  </si>
  <si>
    <t>18457780336741</t>
  </si>
  <si>
    <t>18457780336758</t>
  </si>
  <si>
    <t>18457780336765</t>
  </si>
  <si>
    <t>18457780336772</t>
  </si>
  <si>
    <t>18457780336789</t>
  </si>
  <si>
    <t>18457780336796</t>
  </si>
  <si>
    <t>18457780336802</t>
  </si>
  <si>
    <t>18457780336819</t>
  </si>
  <si>
    <t>18457780336826</t>
  </si>
  <si>
    <t>18457780336833</t>
  </si>
  <si>
    <t>18457780303989</t>
  </si>
  <si>
    <t>18457780268363</t>
  </si>
  <si>
    <t>18457780268370</t>
  </si>
  <si>
    <t>18457780268387</t>
  </si>
  <si>
    <t>18457780268394</t>
  </si>
  <si>
    <t>18457780268400</t>
  </si>
  <si>
    <t>18457780268417</t>
  </si>
  <si>
    <t>18457780268424</t>
  </si>
  <si>
    <t>18457780268431</t>
  </si>
  <si>
    <t>18457780268448</t>
  </si>
  <si>
    <t>18457780268455</t>
  </si>
  <si>
    <t>18457780268462</t>
  </si>
  <si>
    <t>18457780268479</t>
  </si>
  <si>
    <t>18457780303996</t>
  </si>
  <si>
    <t>18457780312264</t>
  </si>
  <si>
    <t>18457780312271</t>
  </si>
  <si>
    <t>18457780312288</t>
  </si>
  <si>
    <t>18457780312295</t>
  </si>
  <si>
    <t>18457780312301</t>
  </si>
  <si>
    <t>18457780312318</t>
  </si>
  <si>
    <t>18457780312325</t>
  </si>
  <si>
    <t>18457780312332</t>
  </si>
  <si>
    <t>18457780312349</t>
  </si>
  <si>
    <t>18457780312356</t>
  </si>
  <si>
    <t>18457780312363</t>
  </si>
  <si>
    <t>18457780312370</t>
  </si>
  <si>
    <t>18457780312387</t>
  </si>
  <si>
    <t>18457780312394</t>
  </si>
  <si>
    <t>18457780303927</t>
  </si>
  <si>
    <t>18457780267885</t>
  </si>
  <si>
    <t>18457780267892</t>
  </si>
  <si>
    <t>18457780267908</t>
  </si>
  <si>
    <t>18457780267915</t>
  </si>
  <si>
    <t>18457780267922</t>
  </si>
  <si>
    <t>18457780267939</t>
  </si>
  <si>
    <t>18457780267946</t>
  </si>
  <si>
    <t>18457780267953</t>
  </si>
  <si>
    <t>18457780267960</t>
  </si>
  <si>
    <t>18457780267977</t>
  </si>
  <si>
    <t>18457780267984</t>
  </si>
  <si>
    <t>18457780267991</t>
  </si>
  <si>
    <t>18457780303934</t>
  </si>
  <si>
    <t>28457780322024</t>
  </si>
  <si>
    <t>28457780322031</t>
  </si>
  <si>
    <t>28457780322048</t>
  </si>
  <si>
    <t>28457780322055</t>
  </si>
  <si>
    <t>28457780322062</t>
  </si>
  <si>
    <t>28457780322079</t>
  </si>
  <si>
    <t>28457780322086</t>
  </si>
  <si>
    <t>28457780322093</t>
  </si>
  <si>
    <t>28457780322109</t>
  </si>
  <si>
    <t>28457780322116</t>
  </si>
  <si>
    <t>28457780322123</t>
  </si>
  <si>
    <t>28457780322130</t>
  </si>
  <si>
    <t>28457780322147</t>
  </si>
  <si>
    <t>18457780312684</t>
  </si>
  <si>
    <t>18457780312691</t>
  </si>
  <si>
    <t>18457780312707</t>
  </si>
  <si>
    <t>18457780312714</t>
  </si>
  <si>
    <t>18457780312721</t>
  </si>
  <si>
    <t>18457780312738</t>
  </si>
  <si>
    <t>18457780312745</t>
  </si>
  <si>
    <t>18457780312752</t>
  </si>
  <si>
    <t>18457780312769</t>
  </si>
  <si>
    <t>18457780312776</t>
  </si>
  <si>
    <t>18457780312783</t>
  </si>
  <si>
    <t>18457780312790</t>
  </si>
  <si>
    <t>18457780312806</t>
  </si>
  <si>
    <t>18457780312813</t>
  </si>
  <si>
    <t>18457780312820</t>
  </si>
  <si>
    <t>18457780312837</t>
  </si>
  <si>
    <t>18457780312844</t>
  </si>
  <si>
    <t>18457780312851</t>
  </si>
  <si>
    <t>18457780312868</t>
  </si>
  <si>
    <t>18457780312875</t>
  </si>
  <si>
    <t>18457780312882</t>
  </si>
  <si>
    <t>18457780312899</t>
  </si>
  <si>
    <t>18457780312905</t>
  </si>
  <si>
    <t>18457780312912</t>
  </si>
  <si>
    <t>18457780312929</t>
  </si>
  <si>
    <t>18457780312936</t>
  </si>
  <si>
    <t>18457780312943</t>
  </si>
  <si>
    <t>18457780312950</t>
  </si>
  <si>
    <t>18457780337267</t>
  </si>
  <si>
    <t>18457780337274</t>
  </si>
  <si>
    <t>18457780337281</t>
  </si>
  <si>
    <t>18457780337298</t>
  </si>
  <si>
    <t>18457780337304</t>
  </si>
  <si>
    <t>18457780337311</t>
  </si>
  <si>
    <t>18457780337328</t>
  </si>
  <si>
    <t>18457780337335</t>
  </si>
  <si>
    <t>18457780337342</t>
  </si>
  <si>
    <t>18457780337359</t>
  </si>
  <si>
    <t>18457780337366</t>
  </si>
  <si>
    <t>18457780337373</t>
  </si>
  <si>
    <t>18457780337380</t>
  </si>
  <si>
    <t>18457780337397</t>
  </si>
  <si>
    <t>18457780304085</t>
  </si>
  <si>
    <t>18457780269209</t>
  </si>
  <si>
    <t>18457780269216</t>
  </si>
  <si>
    <t>18457780269223</t>
  </si>
  <si>
    <t>18457780269230</t>
  </si>
  <si>
    <t>18457780269247</t>
  </si>
  <si>
    <t>18457780269254</t>
  </si>
  <si>
    <t>18457780269261</t>
  </si>
  <si>
    <t>18457780269278</t>
  </si>
  <si>
    <t>18457780269285</t>
  </si>
  <si>
    <t>18457780269292</t>
  </si>
  <si>
    <t>18457780269308</t>
  </si>
  <si>
    <t>18457780269315</t>
  </si>
  <si>
    <t>18457780304092</t>
  </si>
  <si>
    <t>18457780268004</t>
  </si>
  <si>
    <t>18457780268011</t>
  </si>
  <si>
    <t>18457780268028</t>
  </si>
  <si>
    <t>18457780268035</t>
  </si>
  <si>
    <t>18457780268042</t>
  </si>
  <si>
    <t>18457780268059</t>
  </si>
  <si>
    <t>18457780268066</t>
  </si>
  <si>
    <t>18457780268073</t>
  </si>
  <si>
    <t>18457780268080</t>
  </si>
  <si>
    <t>18457780268097</t>
  </si>
  <si>
    <t>18457780268103</t>
  </si>
  <si>
    <t>18457780268110</t>
  </si>
  <si>
    <t>18457780315548</t>
  </si>
  <si>
    <t>18457780315555</t>
  </si>
  <si>
    <t>18457780315562</t>
  </si>
  <si>
    <t>18457780315579</t>
  </si>
  <si>
    <t>18457780315586</t>
  </si>
  <si>
    <t>18457780315593</t>
  </si>
  <si>
    <t>18457780315609</t>
  </si>
  <si>
    <t>18457780315616</t>
  </si>
  <si>
    <t>18457780315623</t>
  </si>
  <si>
    <t>18457780315630</t>
  </si>
  <si>
    <t>18457780315647</t>
  </si>
  <si>
    <t>18457780315654</t>
  </si>
  <si>
    <t>18457780315661</t>
  </si>
  <si>
    <t>18457780315678</t>
  </si>
  <si>
    <t>18457780313667</t>
  </si>
  <si>
    <t>18457780313674</t>
  </si>
  <si>
    <t>18457780313681</t>
  </si>
  <si>
    <t>18457780313698</t>
  </si>
  <si>
    <t>18457780313704</t>
  </si>
  <si>
    <t>18457780313711</t>
  </si>
  <si>
    <t>18457780313728</t>
  </si>
  <si>
    <t>18457780313735</t>
  </si>
  <si>
    <t>18457780313742</t>
  </si>
  <si>
    <t>18457780313759</t>
  </si>
  <si>
    <t>18457780313766</t>
  </si>
  <si>
    <t>18457780313773</t>
  </si>
  <si>
    <t>18457780313780</t>
  </si>
  <si>
    <t>18457780313797</t>
  </si>
  <si>
    <t>18457780313384</t>
  </si>
  <si>
    <t>18457780313391</t>
  </si>
  <si>
    <t>18457780313407</t>
  </si>
  <si>
    <t>18457780313414</t>
  </si>
  <si>
    <t>18457780313421</t>
  </si>
  <si>
    <t>18457780313438</t>
  </si>
  <si>
    <t>18457780313445</t>
  </si>
  <si>
    <t>18457780313452</t>
  </si>
  <si>
    <t>18457780313469</t>
  </si>
  <si>
    <t>18457780313476</t>
  </si>
  <si>
    <t>18457780313483</t>
  </si>
  <si>
    <t>18457780313490</t>
  </si>
  <si>
    <t>18457780313506</t>
  </si>
  <si>
    <t>18457780313513</t>
  </si>
  <si>
    <t>18457780310635</t>
  </si>
  <si>
    <t>18457780310642</t>
  </si>
  <si>
    <t>18457780310659</t>
  </si>
  <si>
    <t>18457780310666</t>
  </si>
  <si>
    <t>18457780310673</t>
  </si>
  <si>
    <t>18457780310680</t>
  </si>
  <si>
    <t>18457780310697</t>
  </si>
  <si>
    <t>18457780310703</t>
  </si>
  <si>
    <t>18457780313247</t>
  </si>
  <si>
    <t>18457780313254</t>
  </si>
  <si>
    <t>18457780313261</t>
  </si>
  <si>
    <t>18457780313278</t>
  </si>
  <si>
    <t>18457780313285</t>
  </si>
  <si>
    <t>18457780313292</t>
  </si>
  <si>
    <t>18457780313308</t>
  </si>
  <si>
    <t>18457780313315</t>
  </si>
  <si>
    <t>18457780313322</t>
  </si>
  <si>
    <t>18457780313339</t>
  </si>
  <si>
    <t>18457780313346</t>
  </si>
  <si>
    <t>18457780313353</t>
  </si>
  <si>
    <t>18457780313360</t>
  </si>
  <si>
    <t>18457780313377</t>
  </si>
  <si>
    <t>18457780336840</t>
  </si>
  <si>
    <t>18457780336857</t>
  </si>
  <si>
    <t>18457780336864</t>
  </si>
  <si>
    <t>18457780336871</t>
  </si>
  <si>
    <t>18457780336888</t>
  </si>
  <si>
    <t>18457780336895</t>
  </si>
  <si>
    <t>18457780336901</t>
  </si>
  <si>
    <t>18457780336918</t>
  </si>
  <si>
    <t>18457780336925</t>
  </si>
  <si>
    <t>18457780336932</t>
  </si>
  <si>
    <t>18457780336949</t>
  </si>
  <si>
    <t>18457780336956</t>
  </si>
  <si>
    <t>18457780336963</t>
  </si>
  <si>
    <t>18457780336970</t>
  </si>
  <si>
    <t>18457780314084</t>
  </si>
  <si>
    <t>18457780314091</t>
  </si>
  <si>
    <t>18457780314107</t>
  </si>
  <si>
    <t>18457780314114</t>
  </si>
  <si>
    <t>18457780314121</t>
  </si>
  <si>
    <t>18457780314138</t>
  </si>
  <si>
    <t>18457780314145</t>
  </si>
  <si>
    <t>18457780314152</t>
  </si>
  <si>
    <t>18457780314169</t>
  </si>
  <si>
    <t>18457780314176</t>
  </si>
  <si>
    <t>18457780314183</t>
  </si>
  <si>
    <t>18457780314190</t>
  </si>
  <si>
    <t>18457780314206</t>
  </si>
  <si>
    <t>18457780314213</t>
  </si>
  <si>
    <t>18457780314220</t>
  </si>
  <si>
    <t>18457780314237</t>
  </si>
  <si>
    <t>18457780314244</t>
  </si>
  <si>
    <t>18457780314251</t>
  </si>
  <si>
    <t>18457780314268</t>
  </si>
  <si>
    <t>18457780314275</t>
  </si>
  <si>
    <t>18457780314282</t>
  </si>
  <si>
    <t>18457780314299</t>
  </si>
  <si>
    <t>18457780314305</t>
  </si>
  <si>
    <t>18457780314312</t>
  </si>
  <si>
    <t>18457780314329</t>
  </si>
  <si>
    <t>18457780314336</t>
  </si>
  <si>
    <t>18457780314343</t>
  </si>
  <si>
    <t>18457780314350</t>
  </si>
  <si>
    <t>18457780336260</t>
  </si>
  <si>
    <t>18457780336277</t>
  </si>
  <si>
    <t>18457780336284</t>
  </si>
  <si>
    <t>18457780336291</t>
  </si>
  <si>
    <t>18457780336307</t>
  </si>
  <si>
    <t>18457780336314</t>
  </si>
  <si>
    <t>18457780336321</t>
  </si>
  <si>
    <t>18457780336338</t>
  </si>
  <si>
    <t>18457780336345</t>
  </si>
  <si>
    <t>18457780336352</t>
  </si>
  <si>
    <t>18457780336369</t>
  </si>
  <si>
    <t>18457780336376</t>
  </si>
  <si>
    <t>18457780336383</t>
  </si>
  <si>
    <t>18457780336390</t>
  </si>
  <si>
    <t>18457780336406</t>
  </si>
  <si>
    <t>18457780336413</t>
  </si>
  <si>
    <t>18457780305563</t>
  </si>
  <si>
    <t>18457780305570</t>
  </si>
  <si>
    <t>18457780305587</t>
  </si>
  <si>
    <t>18457780305594</t>
  </si>
  <si>
    <t>18457780305600</t>
  </si>
  <si>
    <t>18457780305617</t>
  </si>
  <si>
    <t>18457780305624</t>
  </si>
  <si>
    <t>18457780305631</t>
  </si>
  <si>
    <t>18457780305648</t>
  </si>
  <si>
    <t>18457780305655</t>
  </si>
  <si>
    <t>18457780305662</t>
  </si>
  <si>
    <t>18457780305679</t>
  </si>
  <si>
    <t>18457780305686</t>
  </si>
  <si>
    <t>18457780335157</t>
  </si>
  <si>
    <t>18457780335164</t>
  </si>
  <si>
    <t>18457780335171</t>
  </si>
  <si>
    <t>18457780335188</t>
  </si>
  <si>
    <t>18457780335195</t>
  </si>
  <si>
    <t>18457780335201</t>
  </si>
  <si>
    <t>18457780335218</t>
  </si>
  <si>
    <t>18457780335225</t>
  </si>
  <si>
    <t>18457780335232</t>
  </si>
  <si>
    <t>18457780335249</t>
  </si>
  <si>
    <t>18457780335256</t>
  </si>
  <si>
    <t>18457780335263</t>
  </si>
  <si>
    <t>18457780335270</t>
  </si>
  <si>
    <t>18457780335287</t>
  </si>
  <si>
    <t>18457780335294</t>
  </si>
  <si>
    <t>18457780335300</t>
  </si>
  <si>
    <t>18457780304023</t>
  </si>
  <si>
    <t>18457780268721</t>
  </si>
  <si>
    <t>18457780268738</t>
  </si>
  <si>
    <t>18457780268745</t>
  </si>
  <si>
    <t>18457780268752</t>
  </si>
  <si>
    <t>18457780268769</t>
  </si>
  <si>
    <t>18457780268776</t>
  </si>
  <si>
    <t>18457780268783</t>
  </si>
  <si>
    <t>18457780268790</t>
  </si>
  <si>
    <t>18457780268806</t>
  </si>
  <si>
    <t>18457780268813</t>
  </si>
  <si>
    <t>18457780268820</t>
  </si>
  <si>
    <t>18457780268837</t>
  </si>
  <si>
    <t>18457780304030</t>
  </si>
  <si>
    <t>18457780303941</t>
  </si>
  <si>
    <t>18457780268127</t>
  </si>
  <si>
    <t>18457780268134</t>
  </si>
  <si>
    <t>18457780268141</t>
  </si>
  <si>
    <t>18457780268158</t>
  </si>
  <si>
    <t>18457780268165</t>
  </si>
  <si>
    <t>18457780268172</t>
  </si>
  <si>
    <t>18457780268189</t>
  </si>
  <si>
    <t>18457780268196</t>
  </si>
  <si>
    <t>18457780268202</t>
  </si>
  <si>
    <t>18457780268219</t>
  </si>
  <si>
    <t>18457780268226</t>
  </si>
  <si>
    <t>18457780268233</t>
  </si>
  <si>
    <t>18457780303958</t>
  </si>
  <si>
    <t>18457780304061</t>
  </si>
  <si>
    <t>18457780269087</t>
  </si>
  <si>
    <t>18457780269094</t>
  </si>
  <si>
    <t>18457780269100</t>
  </si>
  <si>
    <t>18457780269117</t>
  </si>
  <si>
    <t>18457780269124</t>
  </si>
  <si>
    <t>18457780269131</t>
  </si>
  <si>
    <t>18457780269148</t>
  </si>
  <si>
    <t>18457780269155</t>
  </si>
  <si>
    <t>18457780269162</t>
  </si>
  <si>
    <t>18457780269179</t>
  </si>
  <si>
    <t>18457780269186</t>
  </si>
  <si>
    <t>18457780269193</t>
  </si>
  <si>
    <t>18457780304078</t>
  </si>
  <si>
    <t>18457780330558</t>
  </si>
  <si>
    <t>18457780330565</t>
  </si>
  <si>
    <t>18457780330572</t>
  </si>
  <si>
    <t>18457780330589</t>
  </si>
  <si>
    <t>18457780330596</t>
  </si>
  <si>
    <t>18457780330602</t>
  </si>
  <si>
    <t>18457780330619</t>
  </si>
  <si>
    <t>18457780330626</t>
  </si>
  <si>
    <t>18457780330633</t>
  </si>
  <si>
    <t>18457780330640</t>
  </si>
  <si>
    <t>18457780330657</t>
  </si>
  <si>
    <t>18457780330664</t>
  </si>
  <si>
    <t>18457780330671</t>
  </si>
  <si>
    <t>18457780330688</t>
  </si>
  <si>
    <t>18457780336420</t>
  </si>
  <si>
    <t>18457780336437</t>
  </si>
  <si>
    <t>18457780336444</t>
  </si>
  <si>
    <t>18457780336451</t>
  </si>
  <si>
    <t>18457780336468</t>
  </si>
  <si>
    <t>18457780336475</t>
  </si>
  <si>
    <t>18457780336482</t>
  </si>
  <si>
    <t>18457780336499</t>
  </si>
  <si>
    <t>18457780336505</t>
  </si>
  <si>
    <t>18457780336512</t>
  </si>
  <si>
    <t>18457780336529</t>
  </si>
  <si>
    <t>18457780336536</t>
  </si>
  <si>
    <t>18457780336543</t>
  </si>
  <si>
    <t>18457780336550</t>
  </si>
  <si>
    <t>18457780322430</t>
  </si>
  <si>
    <t>18457780322447</t>
  </si>
  <si>
    <t>18457780322454</t>
  </si>
  <si>
    <t>18457780322461</t>
  </si>
  <si>
    <t>18457780322478</t>
  </si>
  <si>
    <t>18457780322485</t>
  </si>
  <si>
    <t>18457780322492</t>
  </si>
  <si>
    <t>18457780322508</t>
  </si>
  <si>
    <t>18457780322515</t>
  </si>
  <si>
    <t>18457780322522</t>
  </si>
  <si>
    <t>18457780322539</t>
  </si>
  <si>
    <t>18457780322546</t>
  </si>
  <si>
    <t>18457780322553</t>
  </si>
  <si>
    <t>18457780322560</t>
  </si>
  <si>
    <t>18457780318716</t>
  </si>
  <si>
    <t>18457780318723</t>
  </si>
  <si>
    <t>18457780318730</t>
  </si>
  <si>
    <t>18457780318747</t>
  </si>
  <si>
    <t>18457780303965</t>
  </si>
  <si>
    <t>18457780268240</t>
  </si>
  <si>
    <t>18457780268257</t>
  </si>
  <si>
    <t>18457780268264</t>
  </si>
  <si>
    <t>18457780268271</t>
  </si>
  <si>
    <t>18457780268288</t>
  </si>
  <si>
    <t>18457780268295</t>
  </si>
  <si>
    <t>18457780268301</t>
  </si>
  <si>
    <t>18457780268318</t>
  </si>
  <si>
    <t>18457780268325</t>
  </si>
  <si>
    <t>18457780268332</t>
  </si>
  <si>
    <t>18457780268349</t>
  </si>
  <si>
    <t>18457780268356</t>
  </si>
  <si>
    <t>18457780303972</t>
  </si>
  <si>
    <t>18457780313100</t>
  </si>
  <si>
    <t>18457780313117</t>
  </si>
  <si>
    <t>18457780313124</t>
  </si>
  <si>
    <t>18457780313131</t>
  </si>
  <si>
    <t>18457780313148</t>
  </si>
  <si>
    <t>18457780313155</t>
  </si>
  <si>
    <t>18457780313162</t>
  </si>
  <si>
    <t>18457780313179</t>
  </si>
  <si>
    <t>18457780313186</t>
  </si>
  <si>
    <t>18457780313193</t>
  </si>
  <si>
    <t>18457780313209</t>
  </si>
  <si>
    <t>18457780313216</t>
  </si>
  <si>
    <t>18457780313223</t>
  </si>
  <si>
    <t>18457780313230</t>
  </si>
  <si>
    <t>18457780312400</t>
  </si>
  <si>
    <t>18457780312417</t>
  </si>
  <si>
    <t>18457780312424</t>
  </si>
  <si>
    <t>18457780312431</t>
  </si>
  <si>
    <t>18457780312448</t>
  </si>
  <si>
    <t>18457780312455</t>
  </si>
  <si>
    <t>18457780312462</t>
  </si>
  <si>
    <t>18457780312479</t>
  </si>
  <si>
    <t>18457780312486</t>
  </si>
  <si>
    <t>18457780312493</t>
  </si>
  <si>
    <t>18457780312509</t>
  </si>
  <si>
    <t>18457780312516</t>
  </si>
  <si>
    <t>18457780312523</t>
  </si>
  <si>
    <t>18457780312530</t>
  </si>
  <si>
    <t>18457780312967</t>
  </si>
  <si>
    <t>18457780312974</t>
  </si>
  <si>
    <t>18457780312981</t>
  </si>
  <si>
    <t>18457780312998</t>
  </si>
  <si>
    <t>18457780313018</t>
  </si>
  <si>
    <t>18457780313025</t>
  </si>
  <si>
    <t>18457780313032</t>
  </si>
  <si>
    <t>18457780313049</t>
  </si>
  <si>
    <t>18457780313056</t>
  </si>
  <si>
    <t>18457780313063</t>
  </si>
  <si>
    <t>18457780313070</t>
  </si>
  <si>
    <t>18457780313087</t>
  </si>
  <si>
    <t>18457780313094</t>
  </si>
  <si>
    <t>18457780336116</t>
  </si>
  <si>
    <t>18457780336567</t>
  </si>
  <si>
    <t>18457780336574</t>
  </si>
  <si>
    <t>18457780336581</t>
  </si>
  <si>
    <t>18457780336598</t>
  </si>
  <si>
    <t>18457780336604</t>
  </si>
  <si>
    <t>18457780336611</t>
  </si>
  <si>
    <t>18457780336628</t>
  </si>
  <si>
    <t>18457780336635</t>
  </si>
  <si>
    <t>18457780336642</t>
  </si>
  <si>
    <t>18457780336659</t>
  </si>
  <si>
    <t>18457780336666</t>
  </si>
  <si>
    <t>18457780336673</t>
  </si>
  <si>
    <t>18457780336680</t>
  </si>
  <si>
    <t>18457780336697</t>
  </si>
  <si>
    <t>18457780312547</t>
  </si>
  <si>
    <t>18457780312554</t>
  </si>
  <si>
    <t>18457780312561</t>
  </si>
  <si>
    <t>18457780312578</t>
  </si>
  <si>
    <t>18457780312585</t>
  </si>
  <si>
    <t>18457780312592</t>
  </si>
  <si>
    <t>18457780312608</t>
  </si>
  <si>
    <t>18457780312615</t>
  </si>
  <si>
    <t>18457780312622</t>
  </si>
  <si>
    <t>18457780312639</t>
  </si>
  <si>
    <t>18457780312646</t>
  </si>
  <si>
    <t>18457780312653</t>
  </si>
  <si>
    <t>18457780312660</t>
  </si>
  <si>
    <t>18457780312677</t>
  </si>
  <si>
    <t>18457780337120</t>
  </si>
  <si>
    <t>18457780337137</t>
  </si>
  <si>
    <t>18457780337144</t>
  </si>
  <si>
    <t>18457780337151</t>
  </si>
  <si>
    <t>18457780337168</t>
  </si>
  <si>
    <t>18457780337175</t>
  </si>
  <si>
    <t>18457780337182</t>
  </si>
  <si>
    <t>18457780337199</t>
  </si>
  <si>
    <t>18457780337205</t>
  </si>
  <si>
    <t>18457780337212</t>
  </si>
  <si>
    <t>18457780337229</t>
  </si>
  <si>
    <t>18457780337236</t>
  </si>
  <si>
    <t>18457780337243</t>
  </si>
  <si>
    <t>18457780337250</t>
  </si>
  <si>
    <t>18457780313803</t>
  </si>
  <si>
    <t>18457780313810</t>
  </si>
  <si>
    <t>18457780313827</t>
  </si>
  <si>
    <t>18457780313834</t>
  </si>
  <si>
    <t>18457780313841</t>
  </si>
  <si>
    <t>18457780313858</t>
  </si>
  <si>
    <t>18457780313865</t>
  </si>
  <si>
    <t>18457780313872</t>
  </si>
  <si>
    <t>18457780313889</t>
  </si>
  <si>
    <t>18457780313896</t>
  </si>
  <si>
    <t>18457780313902</t>
  </si>
  <si>
    <t>18457780313919</t>
  </si>
  <si>
    <t>18457780313926</t>
  </si>
  <si>
    <t>18457780313933</t>
  </si>
  <si>
    <t>18457780313520</t>
  </si>
  <si>
    <t>18457780313537</t>
  </si>
  <si>
    <t>18457780313544</t>
  </si>
  <si>
    <t>18457780313551</t>
  </si>
  <si>
    <t>18457780313568</t>
  </si>
  <si>
    <t>18457780313575</t>
  </si>
  <si>
    <t>18457780313582</t>
  </si>
  <si>
    <t>18457780313599</t>
  </si>
  <si>
    <t>18457780313605</t>
  </si>
  <si>
    <t>18457780313612</t>
  </si>
  <si>
    <t>18457780313629</t>
  </si>
  <si>
    <t>18457780313636</t>
  </si>
  <si>
    <t>18457780313643</t>
  </si>
  <si>
    <t>18457780313650</t>
  </si>
  <si>
    <t>18457780304047</t>
  </si>
  <si>
    <t>18457780268967</t>
  </si>
  <si>
    <t>18457780268974</t>
  </si>
  <si>
    <t>18457780268981</t>
  </si>
  <si>
    <t>18457780268998</t>
  </si>
  <si>
    <t>18457780269001</t>
  </si>
  <si>
    <t>18457780269018</t>
  </si>
  <si>
    <t>18457780269025</t>
  </si>
  <si>
    <t>18457780269032</t>
  </si>
  <si>
    <t>18457780269049</t>
  </si>
  <si>
    <t>18457780269056</t>
  </si>
  <si>
    <t>18457780269063</t>
  </si>
  <si>
    <t>18457780269070</t>
  </si>
  <si>
    <t>18457780304054</t>
  </si>
  <si>
    <t>18457780322157</t>
  </si>
  <si>
    <t>18457780322164</t>
  </si>
  <si>
    <t>18457780322171</t>
  </si>
  <si>
    <t>18457780322188</t>
  </si>
  <si>
    <t>18457780322195</t>
  </si>
  <si>
    <t>18457780322201</t>
  </si>
  <si>
    <t>18457780322218</t>
  </si>
  <si>
    <t>18457780322225</t>
  </si>
  <si>
    <t>18457780322232</t>
  </si>
  <si>
    <t>18457780322249</t>
  </si>
  <si>
    <t>18457780322256</t>
  </si>
  <si>
    <t>18457780322263</t>
  </si>
  <si>
    <t>18457780322270</t>
  </si>
  <si>
    <t>18457780322287</t>
  </si>
  <si>
    <t>18457780322294</t>
  </si>
  <si>
    <t>18457780322300</t>
  </si>
  <si>
    <t>18457780322317</t>
  </si>
  <si>
    <t>18457780322324</t>
  </si>
  <si>
    <t>18457780322331</t>
  </si>
  <si>
    <t>18457780322348</t>
  </si>
  <si>
    <t>18457780322355</t>
  </si>
  <si>
    <t>18457780322362</t>
  </si>
  <si>
    <t>18457780322379</t>
  </si>
  <si>
    <t>18457780322386</t>
  </si>
  <si>
    <t>18457780322393</t>
  </si>
  <si>
    <t>18457780322409</t>
  </si>
  <si>
    <t>18457780322416</t>
  </si>
  <si>
    <t>18457780322423</t>
  </si>
  <si>
    <t>https://forli.es/calzado-de-seguridad-ocupacional/265-2131-ALASKA.html#/27-talla-35/42-color-negro_black</t>
  </si>
  <si>
    <t>https://forli.es/index.php?controller=attachment&amp;id_attachment=77</t>
  </si>
  <si>
    <t>https://forli.es/flex-esd/272-2223-NEVADA.html#/27-talla-35/42-color-negro_black</t>
  </si>
  <si>
    <t>https://forli.es/index.php?controller=attachment&amp;id_attachment=101</t>
  </si>
  <si>
    <t>https://forli.es/flex-esd/283-2365-FLORIDA.html#/26-talla-34/42-color-negro_black</t>
  </si>
  <si>
    <t>https://forli.es/index.php?controller=attachment&amp;id_attachment=92</t>
  </si>
  <si>
    <t>https://forli.es/flex-esd/273-2237-DENVER.html#/27-talla-35/42-color-negro_black</t>
  </si>
  <si>
    <t>https://forli.es/index.php?controller=attachment&amp;id_attachment=87</t>
  </si>
  <si>
    <t>https://forli.es/flex-esd/285-2387-CHEROKEE.html#/27-talla-35/50-color-camel</t>
  </si>
  <si>
    <t>https://forli.es/index.php?controller=attachment&amp;id_attachment=114</t>
  </si>
  <si>
    <t>https://forli.es/evolution/340-10328-HOUSTONAM.html#/27-talla-35/42-color-negro_black</t>
  </si>
  <si>
    <t>https://forli.es/index.php?controller=attachment&amp;id_attachment=162</t>
  </si>
  <si>
    <t>https://forli.es/evolution/341-3073-HOUSTONAZ.html#/27-talla-35/43-color-azul</t>
  </si>
  <si>
    <t>https://forli.es/index.php?controller=attachment&amp;id_attachment=163</t>
  </si>
  <si>
    <t>https://forli.es/evolution/372-11040-ASPEN.html#/27-talla-35/41-color-gris</t>
  </si>
  <si>
    <t>https://forli.es/evolution/373-11054-TEXAS.html#/27-talla-35/41-color-gris</t>
  </si>
  <si>
    <t>https://forli.es/medium-metal-free/266-2145-ATLANTA.html#/27-talla-35/42-color-negro_black</t>
  </si>
  <si>
    <t>https://forli.es/index.php?controller=attachment&amp;id_attachment=117</t>
  </si>
  <si>
    <t>https://forli.es/medium-metal-free/276-2275-MIAMI.html#/27-talla-35/42-color-negro_black</t>
  </si>
  <si>
    <t>https://forli.es/index.php?controller=attachment&amp;id_attachment=116</t>
  </si>
  <si>
    <t>https://forli.es/medium-metal-free/370-11012-OXFORD.html#/27-talla-35/42-color-negro_black</t>
  </si>
  <si>
    <t>https://forli.es/medium-metal-free/270-2201-VIRGINIA.html#/27-talla-35/42-color-negro_black</t>
  </si>
  <si>
    <t>https://forli.es/index.php?controller=attachment&amp;id_attachment=118</t>
  </si>
  <si>
    <t>https://forli.es/calzado-de-seguridad-ocupacional/337-3017-FRESNO.html#/27-talla-35/48-color-blanco</t>
  </si>
  <si>
    <t>https://forli.es/index.php?controller=attachment&amp;id_attachment=119</t>
  </si>
  <si>
    <t>https://forli.es/white-metal-free/338-3031-RENO.html#/27-talla-35/48-color-blanco</t>
  </si>
  <si>
    <t>https://forli.es/index.php?controller=attachment&amp;id_attachment=120</t>
  </si>
  <si>
    <t>https://forli.es/white-metal-free/339-3045-FARGO.html#/27-talla-35/48-color-blanco</t>
  </si>
  <si>
    <t>https://forli.es/index.php?controller=attachment&amp;id_attachment=121</t>
  </si>
  <si>
    <t>https://forli.es/white-metal-free/362-10910-YORKBL.html#/27-talla-35/48-color-blanco</t>
  </si>
  <si>
    <t>https://forli.es/index.php?controller=attachment&amp;id_attachment=217</t>
  </si>
  <si>
    <t>https://forli.es/white-metal-free/363-10924-YORKNG.html#/27-talla-35/42-color-negro_black</t>
  </si>
  <si>
    <t>https://forli.es/index.php?controller=attachment&amp;id_attachment=221</t>
  </si>
  <si>
    <t>https://forli.es/white-metal-free/364-10938-PHILADELPHIA.html#/27-talla-35/48-color-blanco</t>
  </si>
  <si>
    <t>https://forli.es/index.php?controller=attachment&amp;id_attachment=222</t>
  </si>
  <si>
    <t>https://forli.es/basic-steel/291-2471-AUSTIN.html#/27-talla-35/41-color-gris</t>
  </si>
  <si>
    <t>https://forli.es/index.php?controller=attachment&amp;id_attachment=129</t>
  </si>
  <si>
    <t>https://forli.es/basic-steel/267-2159-BOSTON.html#/27-talla-35/42-color-negro_black</t>
  </si>
  <si>
    <t>https://forli.es/index.php?controller=attachment&amp;id_attachment=128</t>
  </si>
  <si>
    <t>https://forli.es/basic-steel/269-2187-CHICAGO.html#/27-talla-35/42-color-negro_black</t>
  </si>
  <si>
    <t>https://forli.es/index.php?controller=attachment&amp;id_attachment=127</t>
  </si>
  <si>
    <t>https://forli.es/basic-steel/277-2289-DETROIT.html#/28-talla-36/42-color-negro_black</t>
  </si>
  <si>
    <t>https://forli.es/index.php?controller=attachment&amp;id_attachment=131</t>
  </si>
  <si>
    <t>https://forli.es/basic-steel/278-2301-KANSAS.html#/27-talla-35/41-color-gris</t>
  </si>
  <si>
    <t>https://forli.es/index.php?controller=attachment&amp;id_attachment=130</t>
  </si>
  <si>
    <t>https://forli.es/inicio/385-baltimore-s4-ci-src.html</t>
  </si>
  <si>
    <t>https://forli.es/s3/281-2343-MICHIGAN.html#/27-talla-35/42-color-negro_black</t>
  </si>
  <si>
    <t>https://forli.es/index.php?controller=attachment&amp;id_attachment=124</t>
  </si>
  <si>
    <t>https://forli.es/basic-metal-free/280-2329-PORTLAND.html#/27-talla-35/42-color-negro_black</t>
  </si>
  <si>
    <t>https://forli.es/index.php?controller=attachment&amp;id_attachment=125</t>
  </si>
  <si>
    <t>https://forli.es/basic-metal-free/268-2173-BUFFALO.html#/27-talla-35/42-color-negro_black</t>
  </si>
  <si>
    <t>https://forli.es/index.php?controller=attachment&amp;id_attachment=126</t>
  </si>
  <si>
    <t>https://forli.es/basic-metal-free/367-10970-OREGON.html#/27-talla-35/42-color-negro_black</t>
  </si>
  <si>
    <t>https://forli.es/index.php?controller=attachment&amp;id_attachment=223</t>
  </si>
  <si>
    <t>https://forli.es/rider/284-2373-ROCK.html#/27-talla-35/42-color-negro_black</t>
  </si>
  <si>
    <t>https://forli.es/index.php?controller=attachment&amp;id_attachment=113</t>
  </si>
  <si>
    <t>https://forli.es/rider/286-2401-SIOUX.html#/27-talla-35/42-color-negro_black</t>
  </si>
  <si>
    <t>https://forli.es/index.php?controller=attachment&amp;id_attachment=115</t>
  </si>
  <si>
    <t>https://forli.es/calzado-de-seguridad-ocupacional/371-11026-indiana.html#/27-talla-35/42-color-negro_black</t>
  </si>
  <si>
    <t>https://forli.es/inicio/381-memphis-s3s-ci-fo-sc-sr-esd.html</t>
  </si>
  <si>
    <t>https://forli.es/neo-sanitario/343-3101-VEGAS.html#/27-talla-35/42-color-negro_black</t>
  </si>
  <si>
    <t>https://forli.es/index.php?controller=attachment&amp;id_attachment=166</t>
  </si>
  <si>
    <t>https://forli.es/neo-sanitario/344-3115-DOVERBL.html#/27-talla-35/48-color-blanco</t>
  </si>
  <si>
    <t>https://forli.es/index.php?controller=attachment&amp;id_attachment=168</t>
  </si>
  <si>
    <t>https://forli.es/neo-sanitario/345-3129-DOVERNG.html#/27-talla-35/42-color-negro_black</t>
  </si>
  <si>
    <t>https://forli.es/index.php?controller=attachment&amp;id_attachment=169</t>
  </si>
  <si>
    <t>https://forli.es/neo-sanitario/374-11068-DELTA.html#/27-talla-35/48-color-blanco</t>
  </si>
  <si>
    <t>https://forli.es/neo-sanitario/375-11082-TUCSON.html#/27-talla-35/42-color-negro_black</t>
  </si>
  <si>
    <t>https://forli.es/inicio/382-harlem-s3s-hi-ci-fo-hro-sc-sr-esd.html</t>
  </si>
  <si>
    <t>https://forli.es/inicio/383-harlem-s3s-hi-ci-fo-hro-sc-sr-esd.html</t>
  </si>
  <si>
    <t>https://forli.es/trekking/342-3087-COLORADO.html#/27-talla-35/42-color-negro_black</t>
  </si>
  <si>
    <t>https://forli.es/index.php?controller=attachment&amp;id_attachment=161</t>
  </si>
  <si>
    <t>https://forli.es/trekking/346-3143-COLUMBIA.html#/27-talla-35/42-color-negro_black</t>
  </si>
  <si>
    <t>https://forli.es/index.php?controller=attachment&amp;id_attachment=160</t>
  </si>
  <si>
    <t>https://forli.es/trekking/347-3157-SAVANAH.html#/27-talla-35/42-color-negro_black</t>
  </si>
  <si>
    <t>https://forli.es/index.php?controller=attachment&amp;id_attachment=155</t>
  </si>
  <si>
    <t>https://forli.es/inicio/384-harlem-s3s-hi-ci-fo-hro-sc-sr-esd.html</t>
  </si>
  <si>
    <t>URL Web</t>
  </si>
  <si>
    <t>https://forli.es/inicio/386-cleveland-s5-ci-src.html</t>
  </si>
  <si>
    <t>https://forli.es/accesorios/365-10952-plantillapfm.html#/42-color-negro_black/51-talla-35_38</t>
  </si>
  <si>
    <t>PU</t>
  </si>
  <si>
    <t>NEGRO</t>
  </si>
  <si>
    <t>MODELO</t>
  </si>
  <si>
    <t>REFERENCIA</t>
  </si>
  <si>
    <t>MATERIAL CORTE</t>
  </si>
  <si>
    <t>SUELA</t>
  </si>
  <si>
    <t>PUNTERA</t>
  </si>
  <si>
    <t>PLANTILLA</t>
  </si>
  <si>
    <t>GRIS</t>
  </si>
  <si>
    <t>BLANCO</t>
  </si>
  <si>
    <t>NEGRO/ROJO</t>
  </si>
  <si>
    <t>AZUL</t>
  </si>
  <si>
    <t>CAMEL</t>
  </si>
  <si>
    <t>VERDE OSCURO</t>
  </si>
  <si>
    <t>NEGRO / ROJO</t>
  </si>
  <si>
    <t>AMARILLO</t>
  </si>
  <si>
    <t>MICROFIBRA</t>
  </si>
  <si>
    <t>MICROFIBRA ACABADO PIEL SERRAJE TRANSPIRABLE</t>
  </si>
  <si>
    <t>TEXTIL TRANSPIRABLE CON REFUERZO EN PUNTERA Y TRASERA</t>
  </si>
  <si>
    <t>TEXTIL TRANSPIRABLE CON REFUERZO EN PUNTERA</t>
  </si>
  <si>
    <t>MICROFIBRA ACABADO NOBUK</t>
  </si>
  <si>
    <t xml:space="preserve">MICROFIBRA + TEJIDO REFLECTANTE </t>
  </si>
  <si>
    <t>PIEL NOBUCK</t>
  </si>
  <si>
    <t>TEXTIL S3</t>
  </si>
  <si>
    <t>PIEL GRABADA</t>
  </si>
  <si>
    <t xml:space="preserve">MICROFIBRA ACABADO PIEL FULL GRAIN </t>
  </si>
  <si>
    <t>PIEL SERRAJE</t>
  </si>
  <si>
    <t>TEXTIL</t>
  </si>
  <si>
    <t xml:space="preserve">MICROFIBRA + MATERIAL ANTIABRASION </t>
  </si>
  <si>
    <t>PIEL SERRAJE + REJILLA</t>
  </si>
  <si>
    <t xml:space="preserve">MATERIAL ANTIABRASION </t>
  </si>
  <si>
    <t>MICROFIBRA ACABADO NOBUCK</t>
  </si>
  <si>
    <t>MICROFIBRA ACABADO SERRAJE + REJILLA</t>
  </si>
  <si>
    <t xml:space="preserve">PIEL NUBUCK </t>
  </si>
  <si>
    <t>Fibra de vidrio</t>
  </si>
  <si>
    <t>Acero</t>
  </si>
  <si>
    <t>No lleva</t>
  </si>
  <si>
    <t>Antiperforación textil</t>
  </si>
  <si>
    <t>PU/PU DOBLE DENSIDAD</t>
  </si>
  <si>
    <t xml:space="preserve">PU </t>
  </si>
  <si>
    <t>EVA/CAUCHO-NITRILO</t>
  </si>
  <si>
    <t>BOTA MF S3+CI+SRC+ESD Negro 35</t>
  </si>
  <si>
    <t>BOTA MF S3+CI+SRC+ESD Negro 36</t>
  </si>
  <si>
    <t>BOTA MF S3+CI+SRC+ESD Negro 37</t>
  </si>
  <si>
    <t>BOTA MF S3+CI+SRC+ESD Negro 38</t>
  </si>
  <si>
    <t>BOTA MF S3+CI+SRC+ESD Negro 39</t>
  </si>
  <si>
    <t>BOTA MF S3+CI+SRC+ESD Negro 40</t>
  </si>
  <si>
    <t>BOTA MF S3+CI+SRC+ESD Negro 41</t>
  </si>
  <si>
    <t>BOTA MF S3+CI+SRC+ESD Negro 42</t>
  </si>
  <si>
    <t>BOTA MF S3+CI+SRC+ESD Negro 43</t>
  </si>
  <si>
    <t>BOTA MF S3+CI+SRC+ESD Negro 44</t>
  </si>
  <si>
    <t>BOTA MF S3+CI+SRC+ESD Negro 45</t>
  </si>
  <si>
    <t>BOTA MF S3+CI+SRC+ESD Negro 46</t>
  </si>
  <si>
    <t>BOTA MF S3+CI+SRC+ESD Negro 47</t>
  </si>
  <si>
    <t>BOTA MF S3+CI+SRC+ESD Negro 48</t>
  </si>
  <si>
    <t>BOTA S3S +CI+HI+ FO+HRO+SR+ESD Gris 35</t>
  </si>
  <si>
    <t>BOTA S3S +CI+HI+ FO+HRO+SR+ESD Gris 36</t>
  </si>
  <si>
    <t>BOTA S3S +CI+HI+ FO+HRO+SR+ESD Gris 37</t>
  </si>
  <si>
    <t>BOTA S3S +CI+HI+ FO+HRO+SR+ESD Gris 38</t>
  </si>
  <si>
    <t>BOTA S3S +CI+HI+ FO+HRO+SR+ESD Gris 39</t>
  </si>
  <si>
    <t>BOTA S3S +CI+HI+ FO+HRO+SR+ESD Gris 40</t>
  </si>
  <si>
    <t>BOTA S3S +CI+HI+ FO+HRO+SR+ESD Gris 41</t>
  </si>
  <si>
    <t>BOTA S3S +CI+HI+ FO+HRO+SR+ESD Gris 42</t>
  </si>
  <si>
    <t>BOTA S3S +CI+HI+ FO+HRO+SR+ESD Gris 43</t>
  </si>
  <si>
    <t>BOTA S3S +CI+HI+ FO+HRO+SR+ESD Gris 44</t>
  </si>
  <si>
    <t>BOTA S3S +CI+HI+ FO+HRO+SR+ESD Gris 45</t>
  </si>
  <si>
    <t>BOTA S3S +CI+HI+ FO+HRO+SR+ESD Gris 46</t>
  </si>
  <si>
    <t>BOTA S3S +CI+HI+ FO+HRO+SR+ESD Gris 47</t>
  </si>
  <si>
    <t>BOTA S3S +CI+HI+ FO+HRO+SR+ESD Gris 48</t>
  </si>
  <si>
    <t>ZAPATO MF S3+CI+SRC+ESD Negro 35</t>
  </si>
  <si>
    <t>ZAPATO MF S3+CI+SRC+ESD Negro 36</t>
  </si>
  <si>
    <t>ZAPATO MF S3+CI+SRC+ESD Negro 37</t>
  </si>
  <si>
    <t>ZAPATO MF S3+CI+SRC+ESD Negro 38</t>
  </si>
  <si>
    <t>ZAPATO MF S3+CI+SRC+ESD Negro 39</t>
  </si>
  <si>
    <t>ZAPATO MF S3+CI+SRC+ESD Negro 40</t>
  </si>
  <si>
    <t>ZAPATO MF S3+CI+SRC+ESD Negro 41</t>
  </si>
  <si>
    <t>ZAPATO MF S3+CI+SRC+ESD Negro 42</t>
  </si>
  <si>
    <t>ZAPATO MF S3+CI+SRC+ESD Negro 43</t>
  </si>
  <si>
    <t>ZAPATO MF S3+CI+SRC+ESD Negro 44</t>
  </si>
  <si>
    <t>ZAPATO MF S3+CI+SRC+ESD Negro 45</t>
  </si>
  <si>
    <t>ZAPATO MF S3+CI+SRC+ESD Negro 46</t>
  </si>
  <si>
    <t>ZAPATO MF S3+CI+SRC+ESD Negro 47</t>
  </si>
  <si>
    <t>ZAPATO MF S3+CI+SRC+ESD Negro 48</t>
  </si>
  <si>
    <t>BOTA SERRAJE S1+P+CI+SRC METALICO Gris 35</t>
  </si>
  <si>
    <t>BOTA SERRAJE S1+P+CI+SRC METALICO Gris 36</t>
  </si>
  <si>
    <t>BOTA SERRAJE S1+P+CI+SRC METALICO Gris 37</t>
  </si>
  <si>
    <t>BOTA SERRAJE S1+P+CI+SRC METALICO Gris 38</t>
  </si>
  <si>
    <t>BOTA SERRAJE S1+P+CI+SRC METALICO Gris 39</t>
  </si>
  <si>
    <t>BOTA SERRAJE S1+P+CI+SRC METALICO Gris 40</t>
  </si>
  <si>
    <t>BOTA SERRAJE S1+P+CI+SRC METALICO Gris 41</t>
  </si>
  <si>
    <t>BOTA SERRAJE S1+P+CI+SRC METALICO Gris 42</t>
  </si>
  <si>
    <t>BOTA SERRAJE S1+P+CI+SRC METALICO Gris 43</t>
  </si>
  <si>
    <t>BOTA SERRAJE S1+P+CI+SRC METALICO Gris 44</t>
  </si>
  <si>
    <t>BOTA SERRAJE S1+P+CI+SRC METALICO Gris 45</t>
  </si>
  <si>
    <t>BOTA SERRAJE S1+P+CI+SRC METALICO Gris 46</t>
  </si>
  <si>
    <t>BOTA SERRAJE S1+P+CI+SRC METALICO Gris 47</t>
  </si>
  <si>
    <t>BOTA SERRAJE S1+P+CI+SRC METALICO Gris 48</t>
  </si>
  <si>
    <t>BOTA PU S4+CI+SRC Blanco 36</t>
  </si>
  <si>
    <t>BOTA PU S4+CI+SRC Blanco 37</t>
  </si>
  <si>
    <t>BOTA PU S4+CI+SRC Blanco 38</t>
  </si>
  <si>
    <t>BOTA PU S4+CI+SRC Blanco 39</t>
  </si>
  <si>
    <t>BOTA PU S4+CI+SRC Blanco 40</t>
  </si>
  <si>
    <t>BOTA PU S4+CI+SRC Blanco 41</t>
  </si>
  <si>
    <t>BOTA PU S4+CI+SRC Blanco 42</t>
  </si>
  <si>
    <t>BOTA PU S4+CI+SRC Blanco 43</t>
  </si>
  <si>
    <t>BOTA PU S4+CI+SRC Blanco 44</t>
  </si>
  <si>
    <t>BOTA PU S4+CI+SRC Blanco 45</t>
  </si>
  <si>
    <t>BOTA PU S4+CI+SRC Blanco 46</t>
  </si>
  <si>
    <t>BOTA PU S4+CI+SRC Blanco 47</t>
  </si>
  <si>
    <t>BOTA PU S4+CI+SRC Blanco 48</t>
  </si>
  <si>
    <t>ZAPATO PIEL S3+SRC METALICO Negro 35</t>
  </si>
  <si>
    <t>ZAPATO PIEL S3+SRC METALICO Negro 36</t>
  </si>
  <si>
    <t>ZAPATO PIEL S3+SRC METALICO Negro 37</t>
  </si>
  <si>
    <t>ZAPATO PIEL S3+SRC METALICO Negro 38</t>
  </si>
  <si>
    <t>ZAPATO PIEL S3+SRC METALICO Negro 39</t>
  </si>
  <si>
    <t>ZAPATO PIEL S3+SRC METALICO Negro 40</t>
  </si>
  <si>
    <t>ZAPATO PIEL S3+SRC METALICO Negro 41</t>
  </si>
  <si>
    <t>ZAPATO PIEL S3+SRC METALICO Negro 42</t>
  </si>
  <si>
    <t>ZAPATO PIEL S3+SRC METALICO Negro 43</t>
  </si>
  <si>
    <t>ZAPATO PIEL S3+SRC METALICO Negro 44</t>
  </si>
  <si>
    <t>ZAPATO PIEL S3+SRC METALICO Negro 45</t>
  </si>
  <si>
    <t>ZAPATO PIEL S3+SRC METALICO Negro 46</t>
  </si>
  <si>
    <t>ZAPATO PIEL S3+SRC METALICO Negro 47</t>
  </si>
  <si>
    <t>ZAPATO PIEL S3+SRC METALICO Negro 48</t>
  </si>
  <si>
    <t>BOTA S3S+CI+HI+ FO+HRO+SC+SR+ESD Negro-Rojo 35</t>
  </si>
  <si>
    <t>BOTA S3S+CI+HI+ FO+HRO+SC+SR+ESD Negro-Rojo 36</t>
  </si>
  <si>
    <t>BOTA S3S+CI+HI+ FO+HRO+SC+SR+ESD Negro-Rojo 37</t>
  </si>
  <si>
    <t>BOTA S3S+CI+HI+ FO+HRO+SC+SR+ESD Negro-Rojo 38</t>
  </si>
  <si>
    <t>BOTA S3S+CI+HI+ FO+HRO+SC+SR+ESD Negro-Rojo 39</t>
  </si>
  <si>
    <t>BOTA S3S+CI+HI+ FO+HRO+SC+SR+ESD Negro-Rojo 40</t>
  </si>
  <si>
    <t>BOTA S3S+CI+HI+ FO+HRO+SC+SR+ESD Negro-Rojo 41</t>
  </si>
  <si>
    <t>BOTA S3S+CI+HI+ FO+HRO+SC+SR+ESD Negro-Rojo 42</t>
  </si>
  <si>
    <t>BOTA S3S+CI+HI+ FO+HRO+SC+SR+ESD Negro-Rojo 43</t>
  </si>
  <si>
    <t>BOTA S3S+CI+HI+ FO+HRO+SC+SR+ESD Negro-Rojo 44</t>
  </si>
  <si>
    <t>BOTA S3S+CI+HI+ FO+HRO+SC+SR+ESD Negro-Rojo 45</t>
  </si>
  <si>
    <t>BOTA S3S+CI+HI+ FO+HRO+SC+SR+ESD Negro-Rojo 46</t>
  </si>
  <si>
    <t>BOTA S3S+CI+HI+ FO+HRO+SC+SR+ESD Negro-Rojo 47</t>
  </si>
  <si>
    <t>BOTA S3S+CI+HI+ FO+HRO+SC+SR+ESD Negro-Rojo 48</t>
  </si>
  <si>
    <t>ZAPATO SERRAJE S1+P+SRC Azul 35</t>
  </si>
  <si>
    <t>ZAPATO SERRAJE S1+P+SRC Azul 36</t>
  </si>
  <si>
    <t>ZAPATO SERRAJE S1+P+SRC Azul 37</t>
  </si>
  <si>
    <t>ZAPATO SERRAJE S1+P+SRC Azul 38</t>
  </si>
  <si>
    <t>ZAPATO SERRAJE S1+P+SRC Azul 39</t>
  </si>
  <si>
    <t>ZAPATO SERRAJE S1+P+SRC Azul 40</t>
  </si>
  <si>
    <t>ZAPATO SERRAJE S1+P+SRC Azul 41</t>
  </si>
  <si>
    <t>ZAPATO SERRAJE S1+P+SRC Azul 42</t>
  </si>
  <si>
    <t>ZAPATO SERRAJE S1+P+SRC Azul 43</t>
  </si>
  <si>
    <t>ZAPATO SERRAJE S1+P+SRC Azul 44</t>
  </si>
  <si>
    <t>ZAPATO SERRAJE S1+P+SRC Azul 45</t>
  </si>
  <si>
    <t>ZAPATO SERRAJE S1+P+SRC Azul 46</t>
  </si>
  <si>
    <t>ZAPATO SERRAJE S1+P+SRC Azul 47</t>
  </si>
  <si>
    <t>ZAPATO SERRAJE S1+P+SRC Azul 48</t>
  </si>
  <si>
    <t>ZAPATO SERRAJE S1+P+CI+SRC+ESD Camel 35</t>
  </si>
  <si>
    <t>ZAPATO SERRAJE S1+P+CI+SRC+ESD Camel 36</t>
  </si>
  <si>
    <t>ZAPATO SERRAJE S1+P+CI+SRC+ESD Camel 37</t>
  </si>
  <si>
    <t>ZAPATO SERRAJE S1+P+CI+SRC+ESD Camel 38</t>
  </si>
  <si>
    <t>ZAPATO SERRAJE S1+P+CI+SRC+ESD Camel 39</t>
  </si>
  <si>
    <t>ZAPATO SERRAJE S1+P+CI+SRC+ESD Camel 40</t>
  </si>
  <si>
    <t>ZAPATO SERRAJE S1+P+CI+SRC+ESD Camel 41</t>
  </si>
  <si>
    <t>ZAPATO SERRAJE S1+P+CI+SRC+ESD Camel 42</t>
  </si>
  <si>
    <t>ZAPATO SERRAJE S1+P+CI+SRC+ESD Camel 43</t>
  </si>
  <si>
    <t>ZAPATO SERRAJE S1+P+CI+SRC+ESD Camel 44</t>
  </si>
  <si>
    <t>ZAPATO SERRAJE S1+P+CI+SRC+ESD Camel 45</t>
  </si>
  <si>
    <t>ZAPATO SERRAJE S1+P+CI+SRC+ESD Camel 46</t>
  </si>
  <si>
    <t>ZAPATO SERRAJE S1+P+CI+SRC+ESD Camel 47</t>
  </si>
  <si>
    <t>ZAPATO SERRAJE S1+P+CI+SRC+ESD Camel 48</t>
  </si>
  <si>
    <t>BOTA PIEL S3+SRC METALICA Negro 35</t>
  </si>
  <si>
    <t>BOTA PIEL S3+SRC METALICA Negro 36</t>
  </si>
  <si>
    <t>BOTA PIEL S3+SRC METALICA Negro 37</t>
  </si>
  <si>
    <t>BOTA PIEL S3+SRC METALICA Negro 38</t>
  </si>
  <si>
    <t>BOTA PIEL S3+SRC METALICA Negro 39</t>
  </si>
  <si>
    <t>BOTA PIEL S3+SRC METALICA Negro 40</t>
  </si>
  <si>
    <t>BOTA PIEL S3+SRC METALICA Negro 41</t>
  </si>
  <si>
    <t>BOTA PIEL S3+SRC METALICA Negro 42</t>
  </si>
  <si>
    <t>BOTA PIEL S3+SRC METALICA Negro 43</t>
  </si>
  <si>
    <t>BOTA PIEL S3+SRC METALICA Negro 44</t>
  </si>
  <si>
    <t>BOTA PIEL S3+SRC METALICA Negro 45</t>
  </si>
  <si>
    <t>BOTA PIEL S3+SRC METALICA Negro 46</t>
  </si>
  <si>
    <t>BOTA PIEL S3+SRC METALICA Negro 47</t>
  </si>
  <si>
    <t>BOTA PIEL S3+SRC METALICA Negro 48</t>
  </si>
  <si>
    <t>BOTA PU S5+CI+SRC Verde Oscuro 36</t>
  </si>
  <si>
    <t>BOTA PU S5+CI+SRC Verde Oscuro 37</t>
  </si>
  <si>
    <t>BOTA PU S5+CI+SRC Verde Oscuro 38</t>
  </si>
  <si>
    <t>BOTA PU S5+CI+SRC Verde Oscuro 39</t>
  </si>
  <si>
    <t>BOTA PU S5+CI+SRC Verde Oscuro 40</t>
  </si>
  <si>
    <t>BOTA PU S5+CI+SRC Verde Oscuro 41</t>
  </si>
  <si>
    <t>BOTA PU S5+CI+SRC Verde Oscuro 42</t>
  </si>
  <si>
    <t>BOTA PU S5+CI+SRC Verde Oscuro 43</t>
  </si>
  <si>
    <t>BOTA PU S5+CI+SRC Verde Oscuro 44</t>
  </si>
  <si>
    <t>BOTA PU S5+CI+SRC Verde Oscuro 45</t>
  </si>
  <si>
    <t>BOTA PU S5+CI+SRC Verde Oscuro 46</t>
  </si>
  <si>
    <t>BOTA PU S5+CI+SRC Verde Oscuro 47</t>
  </si>
  <si>
    <t>BOTA PU S5+CI+SRC Verde Oscuro 48</t>
  </si>
  <si>
    <t>BOTA S3S+CI+HI+HRO+FO+SR+ESD Negro 35</t>
  </si>
  <si>
    <t>BOTA S3S+CI+HI+HRO+FO+SR+ESD Negro 36</t>
  </si>
  <si>
    <t>BOTA S3S+CI+HI+HRO+FO+SR+ESD Negro 37</t>
  </si>
  <si>
    <t>BOTA S3S+CI+HI+HRO+FO+SR+ESD Negro 38</t>
  </si>
  <si>
    <t>BOTA S3S+CI+HI+HRO+FO+SR+ESD Negro 39</t>
  </si>
  <si>
    <t>BOTA S3S+CI+HI+HRO+FO+SR+ESD Negro 40</t>
  </si>
  <si>
    <t>BOTA S3S+CI+HI+HRO+FO+SR+ESD Negro 41</t>
  </si>
  <si>
    <t>BOTA S3S+CI+HI+HRO+FO+SR+ESD Negro 42</t>
  </si>
  <si>
    <t>BOTA S3S+CI+HI+HRO+FO+SR+ESD Negro 43</t>
  </si>
  <si>
    <t>BOTA S3S+CI+HI+HRO+FO+SR+ESD Negro 44</t>
  </si>
  <si>
    <t>BOTA S3S+CI+HI+HRO+FO+SR+ESD Negro 45</t>
  </si>
  <si>
    <t>BOTA S3S+CI+HI+HRO+FO+SR+ESD Negro 46</t>
  </si>
  <si>
    <t>BOTA S3S+CI+HI+HRO+FO+SR+ESD Negro 47</t>
  </si>
  <si>
    <t>BOTA S3S+CI+HI+HRO+FO+SR+ESD Negro 48</t>
  </si>
  <si>
    <t>ZAPATO 01-FO-SR Blanco 35</t>
  </si>
  <si>
    <t>ZAPATO 01-FO-SR Blanco 36</t>
  </si>
  <si>
    <t>ZAPATO 01-FO-SR Blanco 37</t>
  </si>
  <si>
    <t>ZAPATO 01-FO-SR Blanco 38</t>
  </si>
  <si>
    <t>ZAPATO 01-FO-SR Blanco 39</t>
  </si>
  <si>
    <t>ZAPATO 01-FO-SR Blanco 40</t>
  </si>
  <si>
    <t>ZAPATO 01-FO-SR Blanco 41</t>
  </si>
  <si>
    <t>ZAPATO 01-FO-SR Blanco 42</t>
  </si>
  <si>
    <t>ZAPATO 01-FO-SR Blanco 43</t>
  </si>
  <si>
    <t>ZAPATO 01-FO-SR Blanco 44</t>
  </si>
  <si>
    <t>ZAPATO 01-FO-SR Blanco 45</t>
  </si>
  <si>
    <t>ZAPATO 01-FO-SR Blanco 46</t>
  </si>
  <si>
    <t>ZAPATO 01-FO-SR Blanco 47</t>
  </si>
  <si>
    <t>ZAPATO 01-FO-SR Blanco 48</t>
  </si>
  <si>
    <t>ZAPATO MF S1+P+CI+SRC+ESD Negro 35</t>
  </si>
  <si>
    <t>ZAPATO MF S1+P+CI+SRC+ESD Negro 36</t>
  </si>
  <si>
    <t>ZAPATO MF S1+P+CI+SRC+ESD Negro 37</t>
  </si>
  <si>
    <t>ZAPATO MF S1+P+CI+SRC+ESD Negro 38</t>
  </si>
  <si>
    <t>ZAPATO MF S1+P+CI+SRC+ESD Negro 39</t>
  </si>
  <si>
    <t>ZAPATO MF S1+P+CI+SRC+ESD Negro 40</t>
  </si>
  <si>
    <t>ZAPATO MF S1+P+CI+SRC+ESD Negro 41</t>
  </si>
  <si>
    <t>ZAPATO MF S1+P+CI+SRC+ESD Negro 42</t>
  </si>
  <si>
    <t>ZAPATO MF S1+P+CI+SRC+ESD Negro 43</t>
  </si>
  <si>
    <t>ZAPATO MF S1+P+CI+SRC+ESD Negro 44</t>
  </si>
  <si>
    <t>ZAPATO MF S1+P+CI+SRC+ESD Negro 45</t>
  </si>
  <si>
    <t>ZAPATO MF S1+P+CI+SRC+ESD Negro 46</t>
  </si>
  <si>
    <t>ZAPATO MF S1+P+CI+SRC+ESD Negro 47</t>
  </si>
  <si>
    <t>ZAPATO MF S1+P+CI+SRC+ESD Negro 48</t>
  </si>
  <si>
    <t>BOTA SOLDADOR PIEL S3+CI+HI+FO+SR Negra 36</t>
  </si>
  <si>
    <t>BOTA SOLDADOR PIEL S3+CI+HI+FO+SR Negra 37</t>
  </si>
  <si>
    <t>BOTA SOLDADOR PIEL S3+CI+HI+FO+SR Negra 38</t>
  </si>
  <si>
    <t>BOTA SOLDADOR PIEL S3+CI+HI+FO+SR Negra 39</t>
  </si>
  <si>
    <t>BOTA SOLDADOR PIEL S3+CI+HI+FO+SR Negra 40</t>
  </si>
  <si>
    <t>BOTA SOLDADOR PIEL S3+CI+HI+FO+SR Negra 41</t>
  </si>
  <si>
    <t>BOTA SOLDADOR PIEL S3+CI+HI+FO+SR Negra 42</t>
  </si>
  <si>
    <t>BOTA SOLDADOR PIEL S3+CI+HI+FO+SR Negra 43</t>
  </si>
  <si>
    <t>BOTA SOLDADOR PIEL S3+CI+HI+FO+SR Negra 44</t>
  </si>
  <si>
    <t>BOTA SOLDADOR PIEL S3+CI+HI+FO+SR Negra 45</t>
  </si>
  <si>
    <t>BOTA SOLDADOR PIEL S3+CI+HI+FO+SR Negra 46</t>
  </si>
  <si>
    <t>BOTA SOLDADOR PIEL S3+CI+HI+FO+SR Negra 47</t>
  </si>
  <si>
    <t>ZAPATO MF O2+FO+SR Blanco 35</t>
  </si>
  <si>
    <t>ZAPATO MF O2+FO+SR Blanco 36</t>
  </si>
  <si>
    <t>ZAPATO MF O2+FO+SR Blanco 37</t>
  </si>
  <si>
    <t>ZAPATO MF O2+FO+SR Blanco 38</t>
  </si>
  <si>
    <t>ZAPATO MF O2+FO+SR Blanco 39</t>
  </si>
  <si>
    <t>ZAPATO MF O2+FO+SR Blanco 40</t>
  </si>
  <si>
    <t>ZAPATO MF O2+FO+SR Blanco 41</t>
  </si>
  <si>
    <t>ZAPATO MF O2+FO+SR Blanco 42</t>
  </si>
  <si>
    <t>ZAPATO MF O2+FO+SR Blanco 43</t>
  </si>
  <si>
    <t>ZAPATO MF O2+FO+SR Blanco 44</t>
  </si>
  <si>
    <t>ZAPATO MF O2+FO+SR Blanco 45</t>
  </si>
  <si>
    <t>ZAPATO MF O2+FO+SR Blanco 46</t>
  </si>
  <si>
    <t>ZAPATO MF O2+FO+SR Blanco 47</t>
  </si>
  <si>
    <t>ZAPATO MF O2+FO+SR Blanco 48</t>
  </si>
  <si>
    <t>ZAPATO MF O2+FO+SR Negro 35</t>
  </si>
  <si>
    <t>ZAPATO MF O2+FO+SR Negro 36</t>
  </si>
  <si>
    <t>ZAPATO MF O2+FO+SR Negro 37</t>
  </si>
  <si>
    <t>ZAPATO MF O2+FO+SR Negro 38</t>
  </si>
  <si>
    <t>ZAPATO MF O2+FO+SR Negro 39</t>
  </si>
  <si>
    <t>ZAPATO MF O2+FO+SR Negro 40</t>
  </si>
  <si>
    <t>ZAPATO MF O2+FO+SR Negro 41</t>
  </si>
  <si>
    <t>ZAPATO MF O2+FO+SR Negro 42</t>
  </si>
  <si>
    <t>ZAPATO MF O2+FO+SR Negro 43</t>
  </si>
  <si>
    <t>ZAPATO MF O2+FO+SR Negro 44</t>
  </si>
  <si>
    <t>ZAPATO MF O2+FO+SR Negro 45</t>
  </si>
  <si>
    <t>ZAPATO MF O2+FO+SR Negro 46</t>
  </si>
  <si>
    <t>ZAPATO MF O2+FO+SR Negro 47</t>
  </si>
  <si>
    <t>ZAPATO MF O2+FO+SR Negro 48</t>
  </si>
  <si>
    <t>ZAPATO MF O2+CI+SRC Blanco 35</t>
  </si>
  <si>
    <t>ZAPATO MF O2+CI+SRC Blanco 36</t>
  </si>
  <si>
    <t>ZAPATO MF O2+CI+SRC Blanco 37</t>
  </si>
  <si>
    <t>ZAPATO MF O2+CI+SRC Blanco 38</t>
  </si>
  <si>
    <t>ZAPATO MF O2+CI+SRC Blanco 39</t>
  </si>
  <si>
    <t>ZAPATO MF O2+CI+SRC Blanco 40</t>
  </si>
  <si>
    <t>ZAPATO MF O2+CI+SRC Blanco 41</t>
  </si>
  <si>
    <t>ZAPATO MF O2+CI+SRC Blanco 42</t>
  </si>
  <si>
    <t>ZAPATO MF O2+CI+SRC Blanco 43</t>
  </si>
  <si>
    <t>ZAPATO MF O2+CI+SRC Blanco 44</t>
  </si>
  <si>
    <t>ZAPATO MF O2+CI+SRC Blanco 45</t>
  </si>
  <si>
    <t>ZAPATO MF O2+CI+SRC Blanco 46</t>
  </si>
  <si>
    <t>ZAPATO MF O2+CI+SRC Blanco 47</t>
  </si>
  <si>
    <t>ZAPATO MF O2+CI+SRC Blanco 48</t>
  </si>
  <si>
    <t>ZAPATO MUJER MF S3+CI+SRC+ESD Negro 34</t>
  </si>
  <si>
    <t>ZAPATO MUJER MF S3+CI+SRC+ESD Negro 35</t>
  </si>
  <si>
    <t>ZAPATO MUJER MF S3+CI+SRC+ESD Negro 36</t>
  </si>
  <si>
    <t>ZAPATO MUJER MF S3+CI+SRC+ESD Negro 37</t>
  </si>
  <si>
    <t>ZAPATO MUJER MF S3+CI+SRC+ESD Negro 38</t>
  </si>
  <si>
    <t>ZAPATO MUJER MF S3+CI+SRC+ESD Negro 39</t>
  </si>
  <si>
    <t>ZAPATO MUJER MF S3+CI+SRC+ESD Negro 40</t>
  </si>
  <si>
    <t>ZAPATO MUJER MF S3+CI+SRC+ESD Negro 41</t>
  </si>
  <si>
    <t>ZAPATO MF O1+CI+SRC Blanco 35</t>
  </si>
  <si>
    <t>ZAPATO MF O1+CI+SRC Blanco 36</t>
  </si>
  <si>
    <t>ZAPATO MF O1+CI+SRC Blanco 37</t>
  </si>
  <si>
    <t>ZAPATO MF O1+CI+SRC Blanco 38</t>
  </si>
  <si>
    <t>ZAPATO MF O1+CI+SRC Blanco 39</t>
  </si>
  <si>
    <t>ZAPATO MF O1+CI+SRC Blanco 40</t>
  </si>
  <si>
    <t>ZAPATO MF O1+CI+SRC Blanco 41</t>
  </si>
  <si>
    <t>ZAPATO MF O1+CI+SRC Blanco 42</t>
  </si>
  <si>
    <t>ZAPATO MF O1+CI+SRC Blanco 43</t>
  </si>
  <si>
    <t>ZAPATO MF O1+CI+SRC Blanco 44</t>
  </si>
  <si>
    <t>ZAPATO MF O1+CI+SRC Blanco 45</t>
  </si>
  <si>
    <t>ZAPATO MF O1+CI+SRC Blanco 46</t>
  </si>
  <si>
    <t>ZAPATO MF O1+CI+SRC Blanco 47</t>
  </si>
  <si>
    <t>ZAPATO MF O1+CI+SRC Blanco 48</t>
  </si>
  <si>
    <t>ZAPATO S3S+CI+HI+ FO+HRO+SC+SR +ESD Negro-Rojo 35</t>
  </si>
  <si>
    <t>ZAPATO S3S+CI+HI+ FO+HRO+SC+SR +ESD Negro-Rojo 36</t>
  </si>
  <si>
    <t>ZAPATO S3S+CI+HI+ FO+HRO+SC+SR +ESD Negro-Rojo 37</t>
  </si>
  <si>
    <t>ZAPATO S3S+CI+HI+ FO+HRO+SC+SR +ESD Negro-Rojo 38</t>
  </si>
  <si>
    <t>ZAPATO S3S+CI+HI+ FO+HRO+SC+SR +ESD Negro-Rojo 39</t>
  </si>
  <si>
    <t>ZAPATO S3S+CI+HI+ FO+HRO+SC+SR +ESD Negro-Rojo 40</t>
  </si>
  <si>
    <t>ZAPATO S3S+CI+HI+ FO+HRO+SC+SR +ESD Negro-Rojo 41</t>
  </si>
  <si>
    <t>ZAPATO S3S+CI+HI+ FO+HRO+SC+SR +ESD Negro-Rojo 42</t>
  </si>
  <si>
    <t>ZAPATO S3S+CI+HI+ FO+HRO+SC+SR +ESD Negro-Rojo 43</t>
  </si>
  <si>
    <t>ZAPATO S3S+CI+HI+ FO+HRO+SC+SR +ESD Negro-Rojo 44</t>
  </si>
  <si>
    <t>ZAPATO S3S+CI+HI+ FO+HRO+SC+SR +ESD Negro-Rojo 45</t>
  </si>
  <si>
    <t>ZAPATO S3S+CI+HI+ FO+HRO+SC+SR +ESD Negro-Rojo 46</t>
  </si>
  <si>
    <t>ZAPATO S3S+CI+HI+ FO+HRO+SC+SR +ESD Negro-Rojo 47</t>
  </si>
  <si>
    <t>ZAPATO S3S+CI+HI+ FO+HRO+SC+SR +ESD Negro-Rojo 48</t>
  </si>
  <si>
    <t>ZAPATO S1+PL+CI+HI+FO+SR+ESD Amarillo 35</t>
  </si>
  <si>
    <t>ZAPATO S1+PL+CI+HI+FO+SR+ESD Amarillo 36</t>
  </si>
  <si>
    <t>ZAPATO S1+PL+CI+HI+FO+SR+ESD Amarillo 37</t>
  </si>
  <si>
    <t>ZAPATO S1+PL+CI+HI+FO+SR+ESD Amarillo 38</t>
  </si>
  <si>
    <t>ZAPATO S1+PL+CI+HI+FO+SR+ESD Amarillo 39</t>
  </si>
  <si>
    <t>ZAPATO S1+PL+CI+HI+FO+SR+ESD Amarillo 40</t>
  </si>
  <si>
    <t>ZAPATO S1+PL+CI+HI+FO+SR+ESD Amarillo 41</t>
  </si>
  <si>
    <t>ZAPATO S1+PL+CI+HI+FO+SR+ESD Amarillo 42</t>
  </si>
  <si>
    <t>ZAPATO S1+PL+CI+HI+FO+SR+ESD Amarillo 43</t>
  </si>
  <si>
    <t>ZAPATO S1+PL+CI+HI+FO+SR+ESD Amarillo 44</t>
  </si>
  <si>
    <t>ZAPATO S1+PL+CI+HI+FO+SR+ESD Amarillo 45</t>
  </si>
  <si>
    <t>ZAPATO S1+PL+CI+HI+FO+SR+ESD Amarillo 46</t>
  </si>
  <si>
    <t>ZAPATO S1+PL+CI+HI+FO+SR+ESD Amarillo 47</t>
  </si>
  <si>
    <t>ZAPATO S1+PL+CI+HI+FO+SR+ESD Amarillo 48</t>
  </si>
  <si>
    <t>ZAPATO S1+PL+CI+HI+FO+SR+ESD Azulina 35</t>
  </si>
  <si>
    <t>ZAPATO S1+PL+CI+HI+FO+SR+ESD Azulina 36</t>
  </si>
  <si>
    <t>ZAPATO S1+PL+CI+HI+FO+SR+ESD Azulina 37</t>
  </si>
  <si>
    <t>ZAPATO S1+PL+CI+HI+FO+SR+ESD Azulina 38</t>
  </si>
  <si>
    <t>ZAPATO S1+PL+CI+HI+FO+SR+ESD Azulina 39</t>
  </si>
  <si>
    <t>ZAPATO S1+PL+CI+HI+FO+SR+ESD Azulina 40</t>
  </si>
  <si>
    <t>ZAPATO S1+PL+CI+HI+FO+SR+ESD Azulina 41</t>
  </si>
  <si>
    <t>ZAPATO S1+PL+CI+HI+FO+SR+ESD Azulina 42</t>
  </si>
  <si>
    <t>ZAPATO S1+PL+CI+HI+FO+SR+ESD Azulina 43</t>
  </si>
  <si>
    <t>ZAPATO S1+PL+CI+HI+FO+SR+ESD Azulina 44</t>
  </si>
  <si>
    <t>ZAPATO S1+PL+CI+HI+FO+SR+ESD Azulina 45</t>
  </si>
  <si>
    <t>ZAPATO S1+PL+CI+HI+FO+SR+ESD Azulina 46</t>
  </si>
  <si>
    <t>ZAPATO S1+PL+CI+HI+FO+SR+ESD Azulina 47</t>
  </si>
  <si>
    <t>ZAPATO S1+PL+CI+HI+FO+SR+ESD Azulina 48</t>
  </si>
  <si>
    <t>BOTA S3S+CI+HI+FO+SC+SR+ESD Negro 35</t>
  </si>
  <si>
    <t>BOTA S3S+CI+HI+FO+SC+SR+ESD Negro 36</t>
  </si>
  <si>
    <t>BOTA S3S+CI+HI+FO+SC+SR+ESD Negro 37</t>
  </si>
  <si>
    <t>BOTA S3S+CI+HI+FO+SC+SR+ESD Negro 38</t>
  </si>
  <si>
    <t>BOTA S3S+CI+HI+FO+SC+SR+ESD Negro 39</t>
  </si>
  <si>
    <t>BOTA S3S+CI+HI+FO+SC+SR+ESD Negro 40</t>
  </si>
  <si>
    <t>BOTA S3S+CI+HI+FO+SC+SR+ESD Negro 41</t>
  </si>
  <si>
    <t>BOTA S3S+CI+HI+FO+SC+SR+ESD Negro 42</t>
  </si>
  <si>
    <t>BOTA S3S+CI+HI+FO+SC+SR+ESD Negro 43</t>
  </si>
  <si>
    <t>BOTA S3S+CI+HI+FO+SC+SR+ESD Negro 44</t>
  </si>
  <si>
    <t>BOTA S3S+CI+HI+FO+SC+SR+ESD Negro 45</t>
  </si>
  <si>
    <t>BOTA S3S+CI+HI+FO+SC+SR+ESD Negro 46</t>
  </si>
  <si>
    <t>BOTA S3S+CI+HI+FO+SC+SR+ESD Negro 47</t>
  </si>
  <si>
    <t>BOTA S3S+CI+HI+FO+SC+SR+ESD Negro 48</t>
  </si>
  <si>
    <t>BOTA S3S+CI+HI+FO+SC+SR+ESD Negro 49</t>
  </si>
  <si>
    <t>BOTA S3S+CI+HI+FO+SC+SR+ESD Negro 50</t>
  </si>
  <si>
    <t>ZAPATO SERRAJE S1+P+CI+HI+SR METALICO Gris 35</t>
  </si>
  <si>
    <t>ZAPATO SERRAJE S1+P+CI+HI+SR METALICO Gris 36</t>
  </si>
  <si>
    <t>ZAPATO SERRAJE S1+P+CI+HI+SR METALICO Gris 37</t>
  </si>
  <si>
    <t>ZAPATO SERRAJE S1+P+CI+HI+SR METALICO Gris 38</t>
  </si>
  <si>
    <t>ZAPATO SERRAJE S1+P+CI+HI+SR METALICO Gris 39</t>
  </si>
  <si>
    <t>ZAPATO SERRAJE S1+P+CI+HI+SR METALICO Gris 40</t>
  </si>
  <si>
    <t>ZAPATO SERRAJE S1+P+CI+HI+SR METALICO Gris 41</t>
  </si>
  <si>
    <t>ZAPATO SERRAJE S1+P+CI+HI+SR METALICO Gris 42</t>
  </si>
  <si>
    <t>ZAPATO SERRAJE S1+P+CI+HI+SR METALICO Gris 43</t>
  </si>
  <si>
    <t>ZAPATO SERRAJE S1+P+CI+HI+SR METALICO Gris 44</t>
  </si>
  <si>
    <t>ZAPATO SERRAJE S1+P+CI+HI+SR METALICO Gris 45</t>
  </si>
  <si>
    <t>ZAPATO SERRAJE S1+P+CI+HI+SR METALICO Gris 46</t>
  </si>
  <si>
    <t>ZAPATO SERRAJE S1+P+CI+HI+SR METALICO Gris 47</t>
  </si>
  <si>
    <t>ZAPATO SERRAJE S1+P+CI+HI+SR METALICO Gris 48</t>
  </si>
  <si>
    <t>ZAPATO MF S3S+CI+HI+FO+SR+ESD Negro 35</t>
  </si>
  <si>
    <t>ZAPATO MF S3S+CI+HI+FO+SR+ESD Negro 36</t>
  </si>
  <si>
    <t>ZAPATO MF S3S+CI+HI+FO+SR+ESD Negro 37</t>
  </si>
  <si>
    <t>ZAPATO MF S3S+CI+HI+FO+SR+ESD Negro 38</t>
  </si>
  <si>
    <t>ZAPATO MF S3S+CI+HI+FO+SR+ESD Negro 39</t>
  </si>
  <si>
    <t>ZAPATO MF S3S+CI+HI+FO+SR+ESD Negro 40</t>
  </si>
  <si>
    <t>ZAPATO MF S3S+CI+HI+FO+SR+ESD Negro 41</t>
  </si>
  <si>
    <t>ZAPATO MF S3S+CI+HI+FO+SR+ESD Negro 42</t>
  </si>
  <si>
    <t>ZAPATO MF S3S+CI+HI+FO+SR+ESD Negro 43</t>
  </si>
  <si>
    <t>ZAPATO MF S3S+CI+HI+FO+SR+ESD Negro 44</t>
  </si>
  <si>
    <t>ZAPATO MF S3S+CI+HI+FO+SR+ESD Negro 45</t>
  </si>
  <si>
    <t>ZAPATO MF S3S+CI+HI+FO+SR+ESD Negro 46</t>
  </si>
  <si>
    <t>ZAPATO MF S3S+CI+HI+FO+SR+ESD Negro 47</t>
  </si>
  <si>
    <t>ZAPATO MF S3S+CI+HI+FO+SR+ESD Negro 48</t>
  </si>
  <si>
    <t>ZAPATO MF S3S+CI+HI+FO+SR+ESD Negro 49</t>
  </si>
  <si>
    <t>ZAPATO MF S3S+CI+HI+FO+SR+ESD Negro 50</t>
  </si>
  <si>
    <t>BOTA PIEL S3S+CI+HI+FO+SR METAL FREE Negro 35</t>
  </si>
  <si>
    <t>BOTA PIEL S3S+CI+HI+FO+SR METAL FREE Negro 36</t>
  </si>
  <si>
    <t>BOTA PIEL S3S+CI+HI+FO+SR METAL FREE Negro 37</t>
  </si>
  <si>
    <t>BOTA PIEL S3S+CI+HI+FO+SR METAL FREE Negro 38</t>
  </si>
  <si>
    <t>BOTA PIEL S3S+CI+HI+FO+SR METAL FREE Negro 39</t>
  </si>
  <si>
    <t>BOTA PIEL S3S+CI+HI+FO+SR METAL FREE Negro 40</t>
  </si>
  <si>
    <t>BOTA PIEL S3S+CI+HI+FO+SR METAL FREE Negro 41</t>
  </si>
  <si>
    <t>BOTA PIEL S3S+CI+HI+FO+SR METAL FREE Negro 42</t>
  </si>
  <si>
    <t>BOTA PIEL S3S+CI+HI+FO+SR METAL FREE Negro 43</t>
  </si>
  <si>
    <t>BOTA PIEL S3S+CI+HI+FO+SR METAL FREE Negro 44</t>
  </si>
  <si>
    <t>BOTA PIEL S3S+CI+HI+FO+SR METAL FREE Negro 45</t>
  </si>
  <si>
    <t>BOTA PIEL S3S+CI+HI+FO+SR METAL FREE Negro 46</t>
  </si>
  <si>
    <t>BOTA PIEL S3S+CI+HI+FO+SR METAL FREE Negro 47</t>
  </si>
  <si>
    <t>BOTA PIEL S3S+CI+HI+FO+SR METAL FREE Negro 48</t>
  </si>
  <si>
    <t>BOTA SOLDADOR S3S+CI+HI+FO+SR METAL FREE Negro 35</t>
  </si>
  <si>
    <t>BOTA SOLDADOR S3S+CI+HI+FO+SR METAL FREE Negro 36</t>
  </si>
  <si>
    <t>BOTA SOLDADOR S3S+CI+HI+FO+SR METAL FREE Negro 37</t>
  </si>
  <si>
    <t>BOTA SOLDADOR S3S+CI+HI+FO+SR METAL FREE Negro 38</t>
  </si>
  <si>
    <t>BOTA SOLDADOR S3S+CI+HI+FO+SR METAL FREE Negro 39</t>
  </si>
  <si>
    <t>BOTA SOLDADOR S3S+CI+HI+FO+SR METAL FREE Negro 40</t>
  </si>
  <si>
    <t>BOTA SOLDADOR S3S+CI+HI+FO+SR METAL FREE Negro 41</t>
  </si>
  <si>
    <t>BOTA SOLDADOR S3S+CI+HI+FO+SR METAL FREE Negro 42</t>
  </si>
  <si>
    <t>BOTA SOLDADOR S3S+CI+HI+FO+SR METAL FREE Negro 43</t>
  </si>
  <si>
    <t>BOTA SOLDADOR S3S+CI+HI+FO+SR METAL FREE Negro 44</t>
  </si>
  <si>
    <t>BOTA SOLDADOR S3S+CI+HI+FO+SR METAL FREE Negro 45</t>
  </si>
  <si>
    <t>BOTA SOLDADOR S3S+CI+HI+FO+SR METAL FREE Negro 46</t>
  </si>
  <si>
    <t>BOTA SOLDADOR S3S+CI+HI+FO+SR METAL FREE Negro 47</t>
  </si>
  <si>
    <t>BOTA SOLDADOR S3S+CI+HI+FO+SR METAL FREE Negro 48</t>
  </si>
  <si>
    <t>ZAPATO S3S+CI+HI+FO+SC+SR+ESD Negro 35</t>
  </si>
  <si>
    <t>ZAPATO S3S+CI+HI+FO+SC+SR+ESD Negro 36</t>
  </si>
  <si>
    <t>ZAPATO S3S+CI+HI+FO+SC+SR+ESD Negro 37</t>
  </si>
  <si>
    <t>ZAPATO S3S+CI+HI+FO+SC+SR+ESD Negro 38</t>
  </si>
  <si>
    <t>ZAPATO S3S+CI+HI+FO+SC+SR+ESD Negro 39</t>
  </si>
  <si>
    <t>ZAPATO S3S+CI+HI+FO+SC+SR+ESD Negro 40</t>
  </si>
  <si>
    <t>ZAPATO S3S+CI+HI+FO+SC+SR+ESD Negro 41</t>
  </si>
  <si>
    <t>ZAPATO S3S+CI+HI+FO+SC+SR+ESD Negro 42</t>
  </si>
  <si>
    <t>ZAPATO S3S+CI+HI+FO+SC+SR+ESD Negro 43</t>
  </si>
  <si>
    <t>ZAPATO S3S+CI+HI+FO+SC+SR+ESD Negro 44</t>
  </si>
  <si>
    <t>ZAPATO S3S+CI+HI+FO+SC+SR+ESD Negro 45</t>
  </si>
  <si>
    <t>ZAPATO S3S+CI+HI+FO+SC+SR+ESD Negro 46</t>
  </si>
  <si>
    <t>ZAPATO S3S+CI+HI+FO+SC+SR+ESD Negro 47</t>
  </si>
  <si>
    <t>ZAPATO S3S+CI+HI+FO+SC+SR+ESD Negro 48</t>
  </si>
  <si>
    <t>BOTA MF S2+CI+FO+SR C/VELC Blanco 35</t>
  </si>
  <si>
    <t>BOTA MF S2+CI+FO+SR C/VELC Blanco 36</t>
  </si>
  <si>
    <t>BOTA MF S2+CI+FO+SR C/VELC Blanco 37</t>
  </si>
  <si>
    <t>BOTA MF S2+CI+FO+SR C/VELC Blanco 38</t>
  </si>
  <si>
    <t>BOTA MF S2+CI+FO+SR C/VELC Blanco 39</t>
  </si>
  <si>
    <t>BOTA MF S2+CI+FO+SR C/VELC Blanco 40</t>
  </si>
  <si>
    <t>BOTA MF S2+CI+FO+SR C/VELC Blanco 41</t>
  </si>
  <si>
    <t>BOTA MF S2+CI+FO+SR C/VELC Blanco 42</t>
  </si>
  <si>
    <t>BOTA MF S2+CI+FO+SR C/VELC Blanco 43</t>
  </si>
  <si>
    <t>BOTA MF S2+CI+FO+SR C/VELC Blanco 44</t>
  </si>
  <si>
    <t>BOTA MF S2+CI+FO+SR C/VELC Blanco 45</t>
  </si>
  <si>
    <t>BOTA MF S2+CI+FO+SR C/VELC Blanco 46</t>
  </si>
  <si>
    <t>BOTA MF S2+CI+FO+SR C/VELC Blanco 47</t>
  </si>
  <si>
    <t>BOTA MF S2+CI+FO+SR C/VELC Blanco 48</t>
  </si>
  <si>
    <t>PLANTILLA INTERIOR PFM Negro 35-38</t>
  </si>
  <si>
    <t>PLANTILLA INTERIOR PFM Negro 39-41</t>
  </si>
  <si>
    <t>PLANTILLA INTERIOR PFM Negro 42-44</t>
  </si>
  <si>
    <t>PLANTILLA INTERIOR PFM Negro 45-48</t>
  </si>
  <si>
    <t>ZAPATO PIEL S3S+CI+HI+FO+SR METAL FREE Negro 35</t>
  </si>
  <si>
    <t>ZAPATO PIEL S3S+CI+HI+FO+SR METAL FREE Negro 36</t>
  </si>
  <si>
    <t>ZAPATO PIEL S3S+CI+HI+FO+SR METAL FREE Negro 37</t>
  </si>
  <si>
    <t>ZAPATO PIEL S3S+CI+HI+FO+SR METAL FREE Negro 38</t>
  </si>
  <si>
    <t>ZAPATO PIEL S3S+CI+HI+FO+SR METAL FREE Negro 39</t>
  </si>
  <si>
    <t>ZAPATO PIEL S3S+CI+HI+FO+SR METAL FREE Negro 40</t>
  </si>
  <si>
    <t>ZAPATO PIEL S3S+CI+HI+FO+SR METAL FREE Negro 41</t>
  </si>
  <si>
    <t>ZAPATO PIEL S3S+CI+HI+FO+SR METAL FREE Negro 42</t>
  </si>
  <si>
    <t>ZAPATO PIEL S3S+CI+HI+FO+SR METAL FREE Negro 43</t>
  </si>
  <si>
    <t>ZAPATO PIEL S3S+CI+HI+FO+SR METAL FREE Negro 44</t>
  </si>
  <si>
    <t>ZAPATO PIEL S3S+CI+HI+FO+SR METAL FREE Negro 45</t>
  </si>
  <si>
    <t>ZAPATO PIEL S3S+CI+HI+FO+SR METAL FREE Negro 46</t>
  </si>
  <si>
    <t>ZAPATO PIEL S3S+CI+HI+FO+SR METAL FREE Negro 47</t>
  </si>
  <si>
    <t>ZAPATO PIEL S3S+CI+HI+FO+SR METAL FREE Negro 48</t>
  </si>
  <si>
    <t>ZAPATO MF OB+SRC Blanco 35</t>
  </si>
  <si>
    <t>ZAPATO MF OB+SRC Blanco 36</t>
  </si>
  <si>
    <t>ZAPATO MF OB+SRC Blanco 37</t>
  </si>
  <si>
    <t>ZAPATO MF OB+SRC Blanco 38</t>
  </si>
  <si>
    <t>ZAPATO MF OB+SRC Blanco 39</t>
  </si>
  <si>
    <t>ZAPATO MF OB+SRC Blanco 40</t>
  </si>
  <si>
    <t>ZAPATO MF OB+SRC Blanco 41</t>
  </si>
  <si>
    <t>ZAPATO MF OB+SRC Blanco 42</t>
  </si>
  <si>
    <t>ZAPATO MF OB+SRC Blanco 43</t>
  </si>
  <si>
    <t>ZAPATO MF OB+SRC Blanco 44</t>
  </si>
  <si>
    <t>ZAPATO MF OB+SRC Blanco 45</t>
  </si>
  <si>
    <t>ZAPATO MF OB+SRC Blanco 46</t>
  </si>
  <si>
    <t>ZAPATO MF OB+SRC Blanco 47</t>
  </si>
  <si>
    <t>ZAPATO MF OB+SRC Blanco 48</t>
  </si>
  <si>
    <t>ZAPATO S3+CI+SRC+ESD Azul 35</t>
  </si>
  <si>
    <t>ZAPATO S3+CI+SRC+ESD Azul 36</t>
  </si>
  <si>
    <t>ZAPATO S3+CI+SRC+ESD Azul 37</t>
  </si>
  <si>
    <t>ZAPATO S3+CI+SRC+ESD Azul 38</t>
  </si>
  <si>
    <t>ZAPATO S3+CI+SRC+ESD Azul 39</t>
  </si>
  <si>
    <t>ZAPATO S3+CI+SRC+ESD Azul 40</t>
  </si>
  <si>
    <t>ZAPATO S3+CI+SRC+ESD Azul 41</t>
  </si>
  <si>
    <t>ZAPATO S3+CI+SRC+ESD Azul 42</t>
  </si>
  <si>
    <t>ZAPATO S3+CI+SRC+ESD Azul 43</t>
  </si>
  <si>
    <t>ZAPATO S3+CI+SRC+ESD Azul 44</t>
  </si>
  <si>
    <t>ZAPATO S3+CI+SRC+ESD Azul 45</t>
  </si>
  <si>
    <t>ZAPATO S3+CI+SRC+ESD Azul 46</t>
  </si>
  <si>
    <t>ZAPATO S3+CI+SRC+ESD Azul 47</t>
  </si>
  <si>
    <t>ZAPATO S3+CI+SRC+ESD Azul 48</t>
  </si>
  <si>
    <t>BOTA PIEL S7S+CI+HI+HRO+FO+SR+ESD Negro 35</t>
  </si>
  <si>
    <t>BOTA PIEL S7S+CI+HI+HRO+FO+SR+ESD Negro 36</t>
  </si>
  <si>
    <t>BOTA PIEL S7S+CI+HI+HRO+FO+SR+ESD Negro 37</t>
  </si>
  <si>
    <t>BOTA PIEL S7S+CI+HI+HRO+FO+SR+ESD Negro 38</t>
  </si>
  <si>
    <t>BOTA PIEL S7S+CI+HI+HRO+FO+SR+ESD Negro 39</t>
  </si>
  <si>
    <t>BOTA PIEL S7S+CI+HI+HRO+FO+SR+ESD Negro 40</t>
  </si>
  <si>
    <t>BOTA PIEL S7S+CI+HI+HRO+FO+SR+ESD Negro 41</t>
  </si>
  <si>
    <t>BOTA PIEL S7S+CI+HI+HRO+FO+SR+ESD Negro 42</t>
  </si>
  <si>
    <t>BOTA PIEL S7S+CI+HI+HRO+FO+SR+ESD Negro 43</t>
  </si>
  <si>
    <t>BOTA PIEL S7S+CI+HI+HRO+FO+SR+ESD Negro 44</t>
  </si>
  <si>
    <t>BOTA PIEL S7S+CI+HI+HRO+FO+SR+ESD Negro 45</t>
  </si>
  <si>
    <t>BOTA PIEL S7S+CI+HI+HRO+FO+SR+ESD Negro 46</t>
  </si>
  <si>
    <t>BOTA PIEL S7S+CI+HI+HRO+FO+SR+ESD Negro 47</t>
  </si>
  <si>
    <t>BOTA PIEL S7S+CI+HI+HRO+FO+SR+ESD Negro 48</t>
  </si>
  <si>
    <t>ZAPATO S1+PS+CI+HI+FO+HRO+SR+ESD Negro-Azul 35</t>
  </si>
  <si>
    <t>ZAPATO S1+PS+CI+HI+FO+HRO+SR+ESD Negro-Azul 36</t>
  </si>
  <si>
    <t>ZAPATO S1+PS+CI+HI+FO+HRO+SR+ESD Negro-Azul 37</t>
  </si>
  <si>
    <t>ZAPATO S1+PS+CI+HI+FO+HRO+SR+ESD Negro-Azul 38</t>
  </si>
  <si>
    <t>ZAPATO S1+PS+CI+HI+FO+HRO+SR+ESD Negro-Azul 39</t>
  </si>
  <si>
    <t>ZAPATO S1+PS+CI+HI+FO+HRO+SR+ESD Negro-Azul 40</t>
  </si>
  <si>
    <t>ZAPATO S1+PS+CI+HI+FO+HRO+SR+ESD Negro-Azul 41</t>
  </si>
  <si>
    <t>ZAPATO S1+PS+CI+HI+FO+HRO+SR+ESD Negro-Azul 42</t>
  </si>
  <si>
    <t>ZAPATO S1+PS+CI+HI+FO+HRO+SR+ESD Negro-Azul 43</t>
  </si>
  <si>
    <t>ZAPATO S1+PS+CI+HI+FO+HRO+SR+ESD Negro-Azul 44</t>
  </si>
  <si>
    <t>ZAPATO S1+PS+CI+HI+FO+HRO+SR+ESD Negro-Azul 45</t>
  </si>
  <si>
    <t>ZAPATO S1+PS+CI+HI+FO+HRO+SR+ESD Negro-Azul 46</t>
  </si>
  <si>
    <t>ZAPATO S1+PS+CI+HI+FO+HRO+SR+ESD Negro-Azul 47</t>
  </si>
  <si>
    <t>ZAPATO S1+PS+CI+HI+FO+HRO+SR+ESD Negro-Azul 48</t>
  </si>
  <si>
    <t>ZAPATO S3S +CI+HI+ FO+SR+ESD Gris 35</t>
  </si>
  <si>
    <t>ZAPATO S3S +CI+HI+ FO+SR+ESD Gris 36</t>
  </si>
  <si>
    <t>ZAPATO S3S +CI+HI+ FO+SR+ESD Gris 37</t>
  </si>
  <si>
    <t>ZAPATO S3S +CI+HI+ FO+SR+ESD Gris 38</t>
  </si>
  <si>
    <t>ZAPATO S3S +CI+HI+ FO+SR+ESD Gris 39</t>
  </si>
  <si>
    <t>ZAPATO S3S +CI+HI+ FO+SR+ESD Gris 40</t>
  </si>
  <si>
    <t>ZAPATO S3S +CI+HI+ FO+SR+ESD Gris 41</t>
  </si>
  <si>
    <t>ZAPATO S3S +CI+HI+ FO+SR+ESD Gris 42</t>
  </si>
  <si>
    <t>ZAPATO S3S +CI+HI+ FO+SR+ESD Gris 43</t>
  </si>
  <si>
    <t>ZAPATO S3S +CI+HI+ FO+SR+ESD Gris 44</t>
  </si>
  <si>
    <t>ZAPATO S3S +CI+HI+ FO+SR+ESD Gris 45</t>
  </si>
  <si>
    <t>ZAPATO S3S +CI+HI+ FO+SR+ESD Gris 46</t>
  </si>
  <si>
    <t>ZAPATO S3S +CI+HI+ FO+SR+ESD Gris 47</t>
  </si>
  <si>
    <t>ZAPATO S3S +CI+HI+ FO+SR+ESD Gris 48</t>
  </si>
  <si>
    <t>ZAPATO 01-FO-SR Negro 35</t>
  </si>
  <si>
    <t>ZAPATO 01-FO-SR Negro 36</t>
  </si>
  <si>
    <t>ZAPATO 01-FO-SR Negro 37</t>
  </si>
  <si>
    <t>ZAPATO 01-FO-SR Negro 38</t>
  </si>
  <si>
    <t>ZAPATO 01-FO-SR Negro 39</t>
  </si>
  <si>
    <t>ZAPATO 01-FO-SR Negro 40</t>
  </si>
  <si>
    <t>ZAPATO 01-FO-SR Negro 41</t>
  </si>
  <si>
    <t>ZAPATO 01-FO-SR Negro 42</t>
  </si>
  <si>
    <t>ZAPATO 01-FO-SR Negro 43</t>
  </si>
  <si>
    <t>ZAPATO 01-FO-SR Negro 44</t>
  </si>
  <si>
    <t>ZAPATO 01-FO-SR Negro 45</t>
  </si>
  <si>
    <t>ZAPATO 01-FO-SR Negro 46</t>
  </si>
  <si>
    <t>ZAPATO 01-FO-SR Negro 47</t>
  </si>
  <si>
    <t>ZAPATO 01-FO-SR Negro 48</t>
  </si>
  <si>
    <t>ZAPATO O1+FO+SR Verde-morado 35</t>
  </si>
  <si>
    <t>ZAPATO O1+FO+SR Verde-morado 36</t>
  </si>
  <si>
    <t>ZAPATO O1+FO+SR Verde-morado 37</t>
  </si>
  <si>
    <t>ZAPATO O1+FO+SR Verde-morado 38</t>
  </si>
  <si>
    <t>ZAPATO O1+FO+SR Verde-morado 39</t>
  </si>
  <si>
    <t>ZAPATO O1+FO+SR Verde-morado 40</t>
  </si>
  <si>
    <t>ZAPATO O1+FO+SR Verde-morado 41</t>
  </si>
  <si>
    <t>ZAPATO O1+FO+SR Verde-morado 42</t>
  </si>
  <si>
    <t>ZAPATO O1+FO+SR Verde-morado 43</t>
  </si>
  <si>
    <t>ZAPATO O1+FO+SR Verde-morado 44</t>
  </si>
  <si>
    <t>ZAPATO O1+FO+SR Verde-morado 45</t>
  </si>
  <si>
    <t>ZAPATO O1+FO+SR Verde-morado 46</t>
  </si>
  <si>
    <t>ZAPATO O1+FO+SR Verde-morado 47</t>
  </si>
  <si>
    <t>ZAPATO O1+FO+SR Verde-morado 48</t>
  </si>
  <si>
    <t>ZAPATO MF SERRAJE S1+P+CI+SRC+ESD Negro 35</t>
  </si>
  <si>
    <t>ZAPATO MF SERRAJE S1+P+CI+SRC+ESD Negro 36</t>
  </si>
  <si>
    <t>ZAPATO MF SERRAJE S1+P+CI+SRC+ESD Negro 37</t>
  </si>
  <si>
    <t>ZAPATO MF SERRAJE S1+P+CI+SRC+ESD Negro 38</t>
  </si>
  <si>
    <t>ZAPATO MF SERRAJE S1+P+CI+SRC+ESD Negro 39</t>
  </si>
  <si>
    <t>ZAPATO MF SERRAJE S1+P+CI+SRC+ESD Negro 40</t>
  </si>
  <si>
    <t>ZAPATO MF SERRAJE S1+P+CI+SRC+ESD Negro 41</t>
  </si>
  <si>
    <t>ZAPATO MF SERRAJE S1+P+CI+SRC+ESD Negro 42</t>
  </si>
  <si>
    <t>ZAPATO MF SERRAJE S1+P+CI+SRC+ESD Negro 43</t>
  </si>
  <si>
    <t>ZAPATO MF SERRAJE S1+P+CI+SRC+ESD Negro 44</t>
  </si>
  <si>
    <t>ZAPATO MF SERRAJE S1+P+CI+SRC+ESD Negro 45</t>
  </si>
  <si>
    <t>ZAPATO MF SERRAJE S1+P+CI+SRC+ESD Negro 46</t>
  </si>
  <si>
    <t>ZAPATO MF SERRAJE S1+P+CI+SRC+ESD Negro 47</t>
  </si>
  <si>
    <t>ZAPATO MF SERRAJE S1+P+CI+SRC+ESD Negro 48</t>
  </si>
  <si>
    <t>ZAPATO S2+CI+FO+SR Blanco 35</t>
  </si>
  <si>
    <t>ZAPATO S2+CI+FO+SR Blanco 36</t>
  </si>
  <si>
    <t>ZAPATO S2+CI+FO+SR Blanco 37</t>
  </si>
  <si>
    <t>ZAPATO S2+CI+FO+SR Blanco 38</t>
  </si>
  <si>
    <t>ZAPATO S2+CI+FO+SR Blanco 39</t>
  </si>
  <si>
    <t>ZAPATO S2+CI+FO+SR Blanco 40</t>
  </si>
  <si>
    <t>ZAPATO S2+CI+FO+SR Blanco 41</t>
  </si>
  <si>
    <t>ZAPATO S2+CI+FO+SR Blanco 42</t>
  </si>
  <si>
    <t>ZAPATO S2+CI+FO+SR Blanco 43</t>
  </si>
  <si>
    <t>ZAPATO S2+CI+FO+SR Blanco 44</t>
  </si>
  <si>
    <t>ZAPATO S2+CI+FO+SR Blanco 45</t>
  </si>
  <si>
    <t>ZAPATO S2+CI+FO+SR Blanco 46</t>
  </si>
  <si>
    <t>ZAPATO S2+CI+FO+SR Blanco 47</t>
  </si>
  <si>
    <t>ZAPATO S2+CI+FO+SR Blanco 48</t>
  </si>
  <si>
    <t>ZAPATO S2+CI+FO+SR Negro 35</t>
  </si>
  <si>
    <t>ZAPATO S2+CI+FO+SR Negro 36</t>
  </si>
  <si>
    <t>ZAPATO S2+CI+FO+SR Negro 37</t>
  </si>
  <si>
    <t>ZAPATO S2+CI+FO+SR Negro 38</t>
  </si>
  <si>
    <t>ZAPATO S2+CI+FO+SR Negro 39</t>
  </si>
  <si>
    <t>ZAPATO S2+CI+FO+SR Negro 40</t>
  </si>
  <si>
    <t>ZAPATO S2+CI+FO+SR Negro 41</t>
  </si>
  <si>
    <t>ZAPATO S2+CI+FO+SR Negro 42</t>
  </si>
  <si>
    <t>ZAPATO S2+CI+FO+SR Negro 43</t>
  </si>
  <si>
    <t>ZAPATO S2+CI+FO+SR Negro 44</t>
  </si>
  <si>
    <t>ZAPATO S2+CI+FO+SR Negro 45</t>
  </si>
  <si>
    <t>ZAPATO S2+CI+FO+SR Negro 46</t>
  </si>
  <si>
    <t>ZAPATO S2+CI+FO+SR Negro 47</t>
  </si>
  <si>
    <t>ZAPATO S2+CI+FO+SR Negro 48</t>
  </si>
  <si>
    <t>BOTA PIEL O6+CI+HI+HRO+FO+SR Marrón 35</t>
  </si>
  <si>
    <t>BOTA PIEL O6+CI+HI+HRO+FO+SR Marrón 36</t>
  </si>
  <si>
    <t>BOTA PIEL O6+CI+HI+HRO+FO+SR Marrón 37</t>
  </si>
  <si>
    <t>BOTA PIEL O6+CI+HI+HRO+FO+SR Marrón 39</t>
  </si>
  <si>
    <t>BOTA PIEL O6+CI+HI+HRO+FO+SR Marrón 38</t>
  </si>
  <si>
    <t>BOTA PIEL O6+CI+HI+HRO+FO+SR Marrón 40</t>
  </si>
  <si>
    <t>BOTA PIEL O6+CI+HI+HRO+FO+SR Marrón 41</t>
  </si>
  <si>
    <t>BOTA PIEL O6+CI+HI+HRO+FO+SR Marrón 42</t>
  </si>
  <si>
    <t>BOTA PIEL O6+CI+HI+HRO+FO+SR Marrón 43</t>
  </si>
  <si>
    <t>BOTA PIEL O6+CI+HI+HRO+FO+SR Marrón 44</t>
  </si>
  <si>
    <t>BOTA PIEL O6+CI+HI+HRO+FO+SR Marrón 45</t>
  </si>
  <si>
    <t>BOTA PIEL O6+CI+HI+HRO+FO+SR Marrón 46</t>
  </si>
  <si>
    <t>BOTA PIEL O6+CI+HI+HRO+FO+SR Marrón 47</t>
  </si>
  <si>
    <t>BOTA PIEL O6+CI+HI+HRO+FO+SR Marrón 48</t>
  </si>
  <si>
    <t>MARRON</t>
  </si>
  <si>
    <t>FOR.ALASKA-99-49</t>
  </si>
  <si>
    <t>BOTA MF S3+CI+SRC+ESD Negro 49</t>
  </si>
  <si>
    <t>FOR.ALASKA-99-50</t>
  </si>
  <si>
    <t>BOTA MF S3+CI+SRC+ESD Negro 50</t>
  </si>
  <si>
    <t>https://forli.es/index.php?controller=attachment&amp;id_attachment=78</t>
  </si>
  <si>
    <t>https://forli.es/index.php?controller=attachment&amp;id_attachment=79</t>
  </si>
  <si>
    <t>FOR.CHEROKEE-19-49</t>
  </si>
  <si>
    <t>FOR.CHEROKEE-19-50</t>
  </si>
  <si>
    <t>FOR.DENVER-99-49</t>
  </si>
  <si>
    <t>ZAPATO MF S1+P+CI+SRC+ESD Negro 49</t>
  </si>
  <si>
    <t>FOR.DENVER-99-50</t>
  </si>
  <si>
    <t>ZAPATO MF S1+P+CI+SRC+ESD Negro 50</t>
  </si>
  <si>
    <t>https://forli.es/index.php?controller=attachment&amp;id_attachment=88</t>
  </si>
  <si>
    <t>https://forli.es/index.php?controller=attachment&amp;id_attachment=89</t>
  </si>
  <si>
    <t>FOR.NEVADA-99-49</t>
  </si>
  <si>
    <t>ZAPATO MF S3+CI+SRC+ESD Negro 49</t>
  </si>
  <si>
    <t>FOR.NEVADA-99-50</t>
  </si>
  <si>
    <t>ZAPATO MF S3+CI+SRC+ESD Negro 50</t>
  </si>
  <si>
    <t>https://forli.es/index.php?controller=attachment&amp;id_attachment=102</t>
  </si>
  <si>
    <t>https://forli.es/index.php?controller=attachment&amp;id_attachment=103</t>
  </si>
  <si>
    <t>FOR.PHILADELPHIANG-99-35</t>
  </si>
  <si>
    <t>BOTA MF S2+CI+FO+SR C/VELC Negro 35</t>
  </si>
  <si>
    <t>FOR.PHILADELPHIANG-99-36</t>
  </si>
  <si>
    <t>BOTA MF S2+CI+FO+SR C/VELC Negro 36</t>
  </si>
  <si>
    <t>FOR.PHILADELPHIANG-99-37</t>
  </si>
  <si>
    <t>BOTA MF S2+CI+FO+SR C/VELC Negro 37</t>
  </si>
  <si>
    <t>FOR.PHILADELPHIANG-99-38</t>
  </si>
  <si>
    <t>BOTA MF S2+CI+FO+SR C/VELC Negro 38</t>
  </si>
  <si>
    <t>FOR.PHILADELPHIANG-99-39</t>
  </si>
  <si>
    <t>BOTA MF S2+CI+FO+SR C/VELC Negro 39</t>
  </si>
  <si>
    <t>FOR.PHILADELPHIANG-99-40</t>
  </si>
  <si>
    <t>BOTA MF S2+CI+FO+SR C/VELC Negro 40</t>
  </si>
  <si>
    <t>FOR.PHILADELPHIANG-99-41</t>
  </si>
  <si>
    <t>BOTA MF S2+CI+FO+SR C/VELC Negro 41</t>
  </si>
  <si>
    <t>FOR.PHILADELPHIANG-99-42</t>
  </si>
  <si>
    <t>BOTA MF S2+CI+FO+SR C/VELC Negro 42</t>
  </si>
  <si>
    <t>FOR.PHILADELPHIANG-99-43</t>
  </si>
  <si>
    <t>BOTA MF S2+CI+FO+SR C/VELC Negro 43</t>
  </si>
  <si>
    <t>FOR.PHILADELPHIANG-99-44</t>
  </si>
  <si>
    <t>BOTA MF S2+CI+FO+SR C/VELC Negro 44</t>
  </si>
  <si>
    <t>FOR.PHILADELPHIANG-99-45</t>
  </si>
  <si>
    <t>BOTA MF S2+CI+FO+SR C/VELC Negro 45</t>
  </si>
  <si>
    <t>FOR.PHILADELPHIANG-99-46</t>
  </si>
  <si>
    <t>BOTA MF S2+CI+FO+SR C/VELC Negro 46</t>
  </si>
  <si>
    <t>FOR.PHILADELPHIANG-99-47</t>
  </si>
  <si>
    <t>BOTA MF S2+CI+FO+SR C/VELC Negro 47</t>
  </si>
  <si>
    <t>FOR.PHILADELPHIANG-99-48</t>
  </si>
  <si>
    <t>BOTA MF S2+CI+FO+SR C/VELC Negro 48</t>
  </si>
  <si>
    <t>FOR.CHEROKEEAZ-78-35</t>
  </si>
  <si>
    <t>FOR.CHEROKEEAZ</t>
  </si>
  <si>
    <t>FOR.CHEROKEEAZ-78-36</t>
  </si>
  <si>
    <t>FOR.CHEROKEEAZ-78-37</t>
  </si>
  <si>
    <t>FOR.CHEROKEEAZ-78-38</t>
  </si>
  <si>
    <t>FOR.CHEROKEEAZ-78-39</t>
  </si>
  <si>
    <t>FOR.CHEROKEEAZ-78-40</t>
  </si>
  <si>
    <t>FOR.CHEROKEEAZ-78-41</t>
  </si>
  <si>
    <t>FOR.CHEROKEEAZ-78-42</t>
  </si>
  <si>
    <t>FOR.CHEROKEEAZ-78-43</t>
  </si>
  <si>
    <t>FOR.CHEROKEEAZ-78-44</t>
  </si>
  <si>
    <t>FOR.CHEROKEEAZ-78-45</t>
  </si>
  <si>
    <t>FOR.CHEROKEEAZ-78-46</t>
  </si>
  <si>
    <t>FOR.CHEROKEEAZ-78-47</t>
  </si>
  <si>
    <t>FOR.CHEROKEEAZ-78-48</t>
  </si>
  <si>
    <t>FOR.CHEROKEEAZ-78-49</t>
  </si>
  <si>
    <t>FOR.CHEROKEEAZ-78-50</t>
  </si>
  <si>
    <t>ZAPATO SERRAJE S1+P+CI+SRC+ESD Camel 49</t>
  </si>
  <si>
    <t>ZAPATO SERRAJE S1+P+CI+SRC+ESD Camel 50</t>
  </si>
  <si>
    <t>Marino</t>
  </si>
  <si>
    <t>FOR.CHEROKEEGR-94-35</t>
  </si>
  <si>
    <t>FOR.CHEROKEEGR-94-36</t>
  </si>
  <si>
    <t>FOR.CHEROKEEGR-94-37</t>
  </si>
  <si>
    <t>FOR.CHEROKEEGR-94-38</t>
  </si>
  <si>
    <t>FOR.CHEROKEEGR-94-39</t>
  </si>
  <si>
    <t>FOR.CHEROKEEGR-94-40</t>
  </si>
  <si>
    <t>FOR.CHEROKEEGR-94-41</t>
  </si>
  <si>
    <t>FOR.CHEROKEEGR-94-42</t>
  </si>
  <si>
    <t>FOR.CHEROKEEGR-94-43</t>
  </si>
  <si>
    <t>FOR.CHEROKEEGR-94-44</t>
  </si>
  <si>
    <t>FOR.CHEROKEEGR-94-45</t>
  </si>
  <si>
    <t>FOR.CHEROKEEGR-94-46</t>
  </si>
  <si>
    <t>FOR.CHEROKEEGR-94-47</t>
  </si>
  <si>
    <t>FOR.CHEROKEEGR-94-48</t>
  </si>
  <si>
    <t>FOR.CHEROKEEGR-94-49</t>
  </si>
  <si>
    <t>FOR.CHEROKEEGR-94-50</t>
  </si>
  <si>
    <t>FOR.CHEROKEEGR</t>
  </si>
  <si>
    <t>Gris</t>
  </si>
  <si>
    <t>FOR.CHESTER-9943-35</t>
  </si>
  <si>
    <t>BOTA SBPS E FO CI HI WPA WR HRO LG SC SR Negro/Rojo 35</t>
  </si>
  <si>
    <t>FOR.CHESTER-9943-36</t>
  </si>
  <si>
    <t>BOTA SBPS E FO CI HI WPA WR HRO LG SC SR Negro/Rojo 36</t>
  </si>
  <si>
    <t>FOR.CHESTER-9943-37</t>
  </si>
  <si>
    <t>BOTA SBPS E FO CI HI WPA WR HRO LG SC SR Negro/Rojo 37</t>
  </si>
  <si>
    <t>FOR.CHESTER-9943-38</t>
  </si>
  <si>
    <t>BOTA SBPS E FO CI HI WPA WR HRO LG SC SR Negro/Rojo 38</t>
  </si>
  <si>
    <t>FOR.CHESTER-9943-39</t>
  </si>
  <si>
    <t>BOTA SBPS E FO CI HI WPA WR HRO LG SC SR Negro/Rojo 39</t>
  </si>
  <si>
    <t>FOR.CHESTER-9943-40</t>
  </si>
  <si>
    <t>BOTA SBPS E FO CI HI WPA WR HRO LG SC SR Negro/Rojo 40</t>
  </si>
  <si>
    <t>FOR.CHESTER-9943-41</t>
  </si>
  <si>
    <t>BOTA SBPS E FO CI HI WPA WR HRO LG SC SR Negro/Rojo 41</t>
  </si>
  <si>
    <t>FOR.CHESTER-9943-42</t>
  </si>
  <si>
    <t>BOTA SBPS E FO CI HI WPA WR HRO LG SC SR Negro/Rojo 42</t>
  </si>
  <si>
    <t>FOR.CHESTER-9943-43</t>
  </si>
  <si>
    <t>BOTA SBPS E FO CI HI WPA WR HRO LG SC SR Negro/Rojo 43</t>
  </si>
  <si>
    <t>FOR.CHESTER-9943-44</t>
  </si>
  <si>
    <t>BOTA SBPS E FO CI HI WPA WR HRO LG SC SR Negro/Rojo 44</t>
  </si>
  <si>
    <t>FOR.CHESTER-9943-45</t>
  </si>
  <si>
    <t>BOTA SBPS E FO CI HI WPA WR HRO LG SC SR Negro/Rojo 45</t>
  </si>
  <si>
    <t>FOR.CHESTER-9943-46</t>
  </si>
  <si>
    <t>BOTA SBPS E FO CI HI WPA WR HRO LG SC SR Negro/Rojo 46</t>
  </si>
  <si>
    <t>FOR.CHESTER-9943-47</t>
  </si>
  <si>
    <t>BOTA SBPS E FO CI HI WPA WR HRO LG SC SR Negro/Rojo 47</t>
  </si>
  <si>
    <t>FOR.CHESTER-9943-48</t>
  </si>
  <si>
    <t>BOTA SBPS E FO CI HI WPA WR HRO LG SC SR Negro/Rojo 48</t>
  </si>
  <si>
    <t>FOR.CHESTER</t>
  </si>
  <si>
    <t>PU/CAUCHO NITRILO</t>
  </si>
  <si>
    <t>FOR.LOGAN-9943-35</t>
  </si>
  <si>
    <t>ZAPATO SBPS E FO CI HI WPA WR HRO LG SC SR Negro/Rojo 35</t>
  </si>
  <si>
    <t>FOR.LOGAN-9943-36</t>
  </si>
  <si>
    <t>ZAPATO SBPS E FO CI HI WPA WR HRO LG SC SR  Negro/Rojo 36</t>
  </si>
  <si>
    <t>FOR.LOGAN-9943-37</t>
  </si>
  <si>
    <t>ZAPATO SBPS E FO CI HI WPA WR HRO LG SC SR  Negro/Rojo 37</t>
  </si>
  <si>
    <t>FOR.LOGAN-9943-38</t>
  </si>
  <si>
    <t>ZAPATO SBPS E FO CI HI WPA WR HRO LG SC SR  Negro/Rojo 38</t>
  </si>
  <si>
    <t>FOR.LOGAN-9943-39</t>
  </si>
  <si>
    <t>ZAPATO SBPS E FO CI HI WPA WR HRO LG SC SR  Negro/Rojo 39</t>
  </si>
  <si>
    <t>FOR.LOGAN-9943-40</t>
  </si>
  <si>
    <t>ZAPATO SBPS E FO CI HI WPA WR HRO LG SC SR  Negro/Rojo 40</t>
  </si>
  <si>
    <t>FOR.LOGAN-9943-41</t>
  </si>
  <si>
    <t>ZAPATO SBPS E FO CI HI WPA WR HRO LG SC SR  Negro/Rojo 41</t>
  </si>
  <si>
    <t>FOR.LOGAN-9943-42</t>
  </si>
  <si>
    <t>ZAPATO SBPS E FO CI HI WPA WR HRO LG SC SR  Negro/Rojo 42</t>
  </si>
  <si>
    <t>FOR.LOGAN-9943-43</t>
  </si>
  <si>
    <t>ZAPATO SBPS E FO CI HI WPA WR HRO LG SC SR  Negro/Rojo 43</t>
  </si>
  <si>
    <t>FOR.LOGAN-9943-44</t>
  </si>
  <si>
    <t>ZAPATO SBPS E FO CI HI WPA WR HRO LG SC SR  Negro/Rojo 44</t>
  </si>
  <si>
    <t>FOR.LOGAN-9943-45</t>
  </si>
  <si>
    <t>ZAPATO SBPS E FO CI HI WPA WR HRO LG SC SR Negro/Rojo 45</t>
  </si>
  <si>
    <t>FOR.LOGAN-9943-46</t>
  </si>
  <si>
    <t>ZAPATO SBPS E FO CI HI WPA WR HRO LG SC SR  Negro/Rojo 46</t>
  </si>
  <si>
    <t>FOR.LOGAN-9943-47</t>
  </si>
  <si>
    <t>ZAPATO SBPS E FO CI HI WPA WR HRO LG SC SR  Negro/Rojo 47</t>
  </si>
  <si>
    <t>FOR.LOGAN-9943-48</t>
  </si>
  <si>
    <t>ZAPATO SBPS E FO CI HI WPA WR HRO LG SC SR   Negro/Rojo 48</t>
  </si>
  <si>
    <t>FOR.LOGAN</t>
  </si>
  <si>
    <t>POLIAMIDA + MICROFIBRA</t>
  </si>
  <si>
    <t>FOR.PHILADELPHIANG</t>
  </si>
  <si>
    <t>https://forli.es/inicio/415-philadelphia-ng-s2-ci-fo-sr.html</t>
  </si>
  <si>
    <t>https://forli.es/calzado-de-seguridad-ocupacional/418-ALASKA.html</t>
  </si>
  <si>
    <t>https://forli.es/calzado-de-seguridad-ocupacional/417-ALASKA.html</t>
  </si>
  <si>
    <t>https://forli.es/inicio/416-cherokee-azul-s1ps-ci-fo-sr-esd.html</t>
  </si>
  <si>
    <t>https://forli.es/inicio/413-cherokee-azul-s1ps-ci-fo-sr-esd.html</t>
  </si>
  <si>
    <t>BOTA S3S+CI+FO+SC+SR+ESD Negro 39</t>
  </si>
  <si>
    <t>FOR.CASPER-99-39</t>
  </si>
  <si>
    <t>BOTA S3S+CI+FO+SC+SR+ESD Negro 38</t>
  </si>
  <si>
    <t>FOR.CASPER-99-38</t>
  </si>
  <si>
    <t>BOTA S3S+CI+FO+SC+SR+ESD Negro 37</t>
  </si>
  <si>
    <t>FOR.CASPER-99-37</t>
  </si>
  <si>
    <t>BOTA S3S+CI+FO+SC+SR+ESD Negro 36</t>
  </si>
  <si>
    <t>FOR.CASPER-99-36</t>
  </si>
  <si>
    <t>BOTA S3S+CI+FO+SC+SR+ESD Negro 35</t>
  </si>
  <si>
    <t>FOR.CASPER-99-35</t>
  </si>
  <si>
    <t>FOR.CASPER-99-40</t>
  </si>
  <si>
    <t>BOTA S3S+CI+FO+SC+SR+ESD Negro 40</t>
  </si>
  <si>
    <t>FOR.CASPER-99-41</t>
  </si>
  <si>
    <t>BOTA S3S+CI+FO+SC+SR+ESD Negro 41</t>
  </si>
  <si>
    <t>FOR.CASPER-99-42</t>
  </si>
  <si>
    <t>BOTA S3S+CI+FO+SC+SR+ESD Negro 42</t>
  </si>
  <si>
    <t>FOR.CASPER-99-43</t>
  </si>
  <si>
    <t>BOTA S3S+CI+FO+SC+SR+ESD Negro 43</t>
  </si>
  <si>
    <t>FOR.CASPER-99-44</t>
  </si>
  <si>
    <t>BOTA S3S+CI+FO+SC+SR+ESD Negro 44</t>
  </si>
  <si>
    <t>FOR.CASPER-99-45</t>
  </si>
  <si>
    <t>BOTA S3S+CI+FO+SC+SR+ESD Negro 45</t>
  </si>
  <si>
    <t>FOR.CASPER-99-46</t>
  </si>
  <si>
    <t>BOTA S3S+CI+FO+SC+SR+ESD Negro 46</t>
  </si>
  <si>
    <t>FOR.CASPER-99-47</t>
  </si>
  <si>
    <t>BOTA S3S+CI+FO+SC+SR+ESD Negro 47</t>
  </si>
  <si>
    <t>FOR.CASPER-99-48</t>
  </si>
  <si>
    <t>BOTA S3S+CI+FO+SC+SR+ESD Negro 48</t>
  </si>
  <si>
    <t>FOR.CASPER</t>
  </si>
  <si>
    <t>https://forli.es/medium-metal-free/419-OXFORD.html</t>
  </si>
  <si>
    <t>https://forli.es/index.php?controller=attachment&amp;id_attachment=500</t>
  </si>
  <si>
    <t>https://forli.es/index.php?controller=attachment&amp;id_attachment=501</t>
  </si>
  <si>
    <t>https://forli.es/index.php?controller=attachment&amp;id_attachment=502</t>
  </si>
  <si>
    <t>https://forli.es/index.php?controller=attachment&amp;id_attachment=503</t>
  </si>
  <si>
    <t>https://forli.es/index.php?controller=attachment&amp;id_attachment=504</t>
  </si>
  <si>
    <t>https://forli.es/index.php?controller=attachment&amp;id_attachment=505</t>
  </si>
  <si>
    <t>https://forli.es/index.php?controller=attachment&amp;id_attachment=506</t>
  </si>
  <si>
    <t>https://forli.es/index.php?controller=attachment&amp;id_attachment=507</t>
  </si>
  <si>
    <t>https://forli.es/index.php?controller=attachment&amp;id_attachment=508</t>
  </si>
  <si>
    <t>https://forli.es/index.php?controller=attachment&amp;id_attachment=509</t>
  </si>
  <si>
    <t>https://forli.es/index.php?controller=attachment&amp;id_attachment=510</t>
  </si>
  <si>
    <t>https://forli.es/index.php?controller=attachment&amp;id_attachment=511</t>
  </si>
  <si>
    <t>https://forli.es/index.php?controller=attachment&amp;id_attachment=512</t>
  </si>
  <si>
    <t>https://forli.es/index.php?controller=attachment&amp;id_attachment=513</t>
  </si>
  <si>
    <t>REF</t>
  </si>
  <si>
    <t>ALASKA</t>
  </si>
  <si>
    <t>ASPEN</t>
  </si>
  <si>
    <t>ATLANTA</t>
  </si>
  <si>
    <t>AUSTIN</t>
  </si>
  <si>
    <t>BALTIMORE</t>
  </si>
  <si>
    <t>BOSTON</t>
  </si>
  <si>
    <t>BRONX</t>
  </si>
  <si>
    <t>BUFFALO</t>
  </si>
  <si>
    <t>CASPER</t>
  </si>
  <si>
    <t>CHEROKEE</t>
  </si>
  <si>
    <t>CHEROKEEAZ</t>
  </si>
  <si>
    <t>CHEROKEEGR</t>
  </si>
  <si>
    <t>CHESTER</t>
  </si>
  <si>
    <t>CHICAGO</t>
  </si>
  <si>
    <t>CLEVELAND</t>
  </si>
  <si>
    <t>COLORADO</t>
  </si>
  <si>
    <t>COLUMBIA</t>
  </si>
  <si>
    <t>DELTA</t>
  </si>
  <si>
    <t>DENVER</t>
  </si>
  <si>
    <t>DETROIT</t>
  </si>
  <si>
    <t>DOVERBL</t>
  </si>
  <si>
    <t>DOVERNG</t>
  </si>
  <si>
    <t>FARGO</t>
  </si>
  <si>
    <t>FLORIDA</t>
  </si>
  <si>
    <t>FRESNO</t>
  </si>
  <si>
    <t>HARLEM</t>
  </si>
  <si>
    <t>HOUSTONAM</t>
  </si>
  <si>
    <t>HOUSTONAZ</t>
  </si>
  <si>
    <t>INDIANA</t>
  </si>
  <si>
    <t>KANSAS</t>
  </si>
  <si>
    <t>LOGAN</t>
  </si>
  <si>
    <t>MEMPHIS</t>
  </si>
  <si>
    <t>MIAMI</t>
  </si>
  <si>
    <t>MICHIGAN</t>
  </si>
  <si>
    <t>NEVADA</t>
  </si>
  <si>
    <t>OREGON</t>
  </si>
  <si>
    <t>OXFORD</t>
  </si>
  <si>
    <t>PHILADELPHIA</t>
  </si>
  <si>
    <t>PHILADELPHIANG</t>
  </si>
  <si>
    <t>PLANTILLA.PFM</t>
  </si>
  <si>
    <t>PORTLAND</t>
  </si>
  <si>
    <t>RENO</t>
  </si>
  <si>
    <t>ROCK</t>
  </si>
  <si>
    <t>SAVANNAH</t>
  </si>
  <si>
    <t>SIDNEY</t>
  </si>
  <si>
    <t>SIOUX</t>
  </si>
  <si>
    <t>TEXAS</t>
  </si>
  <si>
    <t>TUCSON</t>
  </si>
  <si>
    <t>VEGAS</t>
  </si>
  <si>
    <t>VIRGINIA</t>
  </si>
  <si>
    <t>YORKBL</t>
  </si>
  <si>
    <t>YORKNG</t>
  </si>
  <si>
    <t>DESCRIPCION CORTA</t>
  </si>
  <si>
    <t>DESCRIPCIÓN LARGA</t>
  </si>
  <si>
    <t>DESCRIPCIÓN LARGA - MAYUSC 1 LETRA</t>
  </si>
  <si>
    <r>
      <rPr>
        <b/>
        <sz val="7.5"/>
        <color rgb="FFFFFFFF"/>
        <rFont val="Calibri"/>
        <family val="1"/>
      </rPr>
      <t>REF</t>
    </r>
  </si>
  <si>
    <r>
      <rPr>
        <u/>
        <sz val="7.5"/>
        <color rgb="FF0462C1"/>
        <rFont val="Calibri"/>
        <family val="1"/>
      </rPr>
      <t>HOUSTON </t>
    </r>
    <r>
      <rPr>
        <sz val="7.5"/>
        <color rgb="FF0462C1"/>
        <rFont val="Calibri"/>
        <family val="1"/>
      </rPr>
      <t xml:space="preserve"> </t>
    </r>
    <r>
      <rPr>
        <u/>
        <sz val="7.5"/>
        <color rgb="FF0462C1"/>
        <rFont val="Calibri"/>
        <family val="1"/>
      </rPr>
      <t>AMARILLO</t>
    </r>
  </si>
  <si>
    <r>
      <rPr>
        <u/>
        <sz val="7.5"/>
        <color rgb="FF0462C1"/>
        <rFont val="Calibri"/>
        <family val="1"/>
      </rPr>
      <t>HOUSTON AZUL</t>
    </r>
  </si>
  <si>
    <r>
      <rPr>
        <u/>
        <sz val="7.5"/>
        <color rgb="FF0462C1"/>
        <rFont val="Calibri"/>
        <family val="1"/>
      </rPr>
      <t>ASPEN</t>
    </r>
  </si>
  <si>
    <r>
      <rPr>
        <u/>
        <sz val="7.5"/>
        <color rgb="FF0462C1"/>
        <rFont val="Calibri"/>
        <family val="1"/>
      </rPr>
      <t>TEXAS</t>
    </r>
  </si>
  <si>
    <r>
      <rPr>
        <u/>
        <sz val="7.5"/>
        <color rgb="FF0462C1"/>
        <rFont val="Calibri"/>
        <family val="1"/>
      </rPr>
      <t>HARLEM</t>
    </r>
  </si>
  <si>
    <r>
      <rPr>
        <u/>
        <sz val="7.5"/>
        <color rgb="FF0462C1"/>
        <rFont val="Calibri"/>
        <family val="1"/>
      </rPr>
      <t>BRONX</t>
    </r>
  </si>
  <si>
    <r>
      <rPr>
        <u/>
        <sz val="7.5"/>
        <color rgb="FF0462C1"/>
        <rFont val="Calibri"/>
        <family val="1"/>
      </rPr>
      <t>SIDNEY</t>
    </r>
  </si>
  <si>
    <r>
      <rPr>
        <u/>
        <sz val="7.5"/>
        <color rgb="FF0462C1"/>
        <rFont val="Calibri"/>
        <family val="1"/>
      </rPr>
      <t>NEVADA</t>
    </r>
  </si>
  <si>
    <r>
      <rPr>
        <u/>
        <sz val="7.5"/>
        <color rgb="FF0462C1"/>
        <rFont val="Calibri"/>
        <family val="1"/>
      </rPr>
      <t>FLORIDA</t>
    </r>
  </si>
  <si>
    <r>
      <rPr>
        <u/>
        <sz val="7.5"/>
        <color rgb="FF0462C1"/>
        <rFont val="Calibri"/>
        <family val="1"/>
      </rPr>
      <t>ALASKA</t>
    </r>
  </si>
  <si>
    <r>
      <rPr>
        <u/>
        <sz val="7.5"/>
        <color rgb="FF0462C1"/>
        <rFont val="Calibri"/>
        <family val="1"/>
      </rPr>
      <t>DENVER</t>
    </r>
  </si>
  <si>
    <r>
      <rPr>
        <u/>
        <sz val="7.5"/>
        <color rgb="FF0462C1"/>
        <rFont val="Calibri"/>
        <family val="1"/>
      </rPr>
      <t>CHEROKEE</t>
    </r>
  </si>
  <si>
    <r>
      <rPr>
        <u/>
        <sz val="7.5"/>
        <color rgb="FF0462C1"/>
        <rFont val="Calibri"/>
        <family val="1"/>
      </rPr>
      <t>CHEROKEE </t>
    </r>
    <r>
      <rPr>
        <sz val="7.5"/>
        <color rgb="FF0462C1"/>
        <rFont val="Calibri"/>
        <family val="1"/>
      </rPr>
      <t xml:space="preserve"> </t>
    </r>
    <r>
      <rPr>
        <u/>
        <sz val="7.5"/>
        <color rgb="FF0462C1"/>
        <rFont val="Calibri"/>
        <family val="1"/>
      </rPr>
      <t>AZUL</t>
    </r>
  </si>
  <si>
    <r>
      <rPr>
        <u/>
        <sz val="7.5"/>
        <color rgb="FF0462C1"/>
        <rFont val="Calibri"/>
        <family val="1"/>
      </rPr>
      <t>CHEROKEE GRIS</t>
    </r>
  </si>
  <si>
    <r>
      <rPr>
        <sz val="7.5"/>
        <rFont val="Calibri"/>
        <family val="1"/>
      </rPr>
      <t>CHESTER</t>
    </r>
  </si>
  <si>
    <r>
      <rPr>
        <sz val="7.5"/>
        <rFont val="Calibri"/>
        <family val="1"/>
      </rPr>
      <t>LOGAN</t>
    </r>
  </si>
  <si>
    <r>
      <rPr>
        <u/>
        <sz val="7.5"/>
        <color rgb="FF0462C1"/>
        <rFont val="Calibri"/>
        <family val="1"/>
      </rPr>
      <t>VEGAS</t>
    </r>
  </si>
  <si>
    <r>
      <rPr>
        <u/>
        <sz val="7.5"/>
        <color rgb="FF0462C1"/>
        <rFont val="Calibri"/>
        <family val="1"/>
      </rPr>
      <t>DOVER BL</t>
    </r>
  </si>
  <si>
    <r>
      <rPr>
        <u/>
        <sz val="7.5"/>
        <color rgb="FF0462C1"/>
        <rFont val="Calibri"/>
        <family val="1"/>
      </rPr>
      <t>DOVER NG</t>
    </r>
  </si>
  <si>
    <r>
      <rPr>
        <u/>
        <sz val="7.5"/>
        <color rgb="FF0462C1"/>
        <rFont val="Calibri"/>
        <family val="1"/>
      </rPr>
      <t>DELTA</t>
    </r>
  </si>
  <si>
    <r>
      <rPr>
        <u/>
        <sz val="7.5"/>
        <color rgb="FF0462C1"/>
        <rFont val="Calibri"/>
        <family val="1"/>
      </rPr>
      <t>TUCSON</t>
    </r>
  </si>
  <si>
    <r>
      <rPr>
        <u/>
        <sz val="7.5"/>
        <color rgb="FF0462C1"/>
        <rFont val="Calibri"/>
        <family val="1"/>
      </rPr>
      <t>SIOUX</t>
    </r>
  </si>
  <si>
    <r>
      <rPr>
        <u/>
        <sz val="7.5"/>
        <color rgb="FF0462C1"/>
        <rFont val="Calibri"/>
        <family val="1"/>
      </rPr>
      <t>ROCK</t>
    </r>
  </si>
  <si>
    <r>
      <rPr>
        <u/>
        <sz val="7.5"/>
        <color rgb="FF0462C1"/>
        <rFont val="Calibri"/>
        <family val="1"/>
      </rPr>
      <t>MEMPHIS</t>
    </r>
  </si>
  <si>
    <r>
      <rPr>
        <u/>
        <sz val="7.5"/>
        <color rgb="FF0462C1"/>
        <rFont val="Calibri"/>
        <family val="1"/>
      </rPr>
      <t>INDIANA</t>
    </r>
  </si>
  <si>
    <r>
      <rPr>
        <u/>
        <sz val="7.5"/>
        <color rgb="FF0462C1"/>
        <rFont val="Calibri"/>
        <family val="1"/>
      </rPr>
      <t>COLORADO</t>
    </r>
  </si>
  <si>
    <r>
      <rPr>
        <u/>
        <sz val="7.5"/>
        <color rgb="FF0462C1"/>
        <rFont val="Calibri"/>
        <family val="1"/>
      </rPr>
      <t>COLUMBIA</t>
    </r>
  </si>
  <si>
    <r>
      <rPr>
        <u/>
        <sz val="7.5"/>
        <color rgb="FF0462C1"/>
        <rFont val="Calibri"/>
        <family val="1"/>
      </rPr>
      <t>SAVANNAH</t>
    </r>
  </si>
  <si>
    <r>
      <rPr>
        <u/>
        <sz val="7.5"/>
        <color rgb="FF0462C1"/>
        <rFont val="Calibri"/>
        <family val="1"/>
      </rPr>
      <t>FRESNO</t>
    </r>
  </si>
  <si>
    <r>
      <rPr>
        <u/>
        <sz val="7.5"/>
        <color rgb="FF0462C1"/>
        <rFont val="Calibri"/>
        <family val="1"/>
      </rPr>
      <t>RENO</t>
    </r>
  </si>
  <si>
    <r>
      <rPr>
        <u/>
        <sz val="7.5"/>
        <color rgb="FF0462C1"/>
        <rFont val="Calibri"/>
        <family val="1"/>
      </rPr>
      <t>FARGO</t>
    </r>
  </si>
  <si>
    <r>
      <rPr>
        <u/>
        <sz val="7.5"/>
        <color rgb="FF0462C1"/>
        <rFont val="Calibri"/>
        <family val="1"/>
      </rPr>
      <t>YORK BL</t>
    </r>
  </si>
  <si>
    <r>
      <rPr>
        <u/>
        <sz val="7.5"/>
        <color rgb="FF0462C1"/>
        <rFont val="Calibri"/>
        <family val="1"/>
      </rPr>
      <t>YORK NG</t>
    </r>
  </si>
  <si>
    <r>
      <rPr>
        <u/>
        <sz val="7.5"/>
        <color rgb="FF0462C1"/>
        <rFont val="Calibri"/>
        <family val="1"/>
      </rPr>
      <t>PHILADELPHIA</t>
    </r>
  </si>
  <si>
    <r>
      <rPr>
        <u/>
        <sz val="7.5"/>
        <color rgb="FF0462C1"/>
        <rFont val="Calibri"/>
        <family val="1"/>
      </rPr>
      <t>ATLANTA</t>
    </r>
  </si>
  <si>
    <r>
      <rPr>
        <u/>
        <sz val="7.5"/>
        <color rgb="FF0462C1"/>
        <rFont val="Calibri"/>
        <family val="1"/>
      </rPr>
      <t>MIAM</t>
    </r>
    <r>
      <rPr>
        <sz val="7.5"/>
        <color rgb="FF0462C1"/>
        <rFont val="Calibri"/>
        <family val="1"/>
      </rPr>
      <t>I</t>
    </r>
  </si>
  <si>
    <r>
      <rPr>
        <u/>
        <sz val="7.5"/>
        <color rgb="FF0462C1"/>
        <rFont val="Calibri"/>
        <family val="1"/>
      </rPr>
      <t>VIRGINIA</t>
    </r>
  </si>
  <si>
    <r>
      <rPr>
        <u/>
        <sz val="7.5"/>
        <color rgb="FF0462C1"/>
        <rFont val="Calibri"/>
        <family val="1"/>
      </rPr>
      <t>OXFORD</t>
    </r>
  </si>
  <si>
    <r>
      <rPr>
        <sz val="7.5"/>
        <rFont val="Calibri"/>
        <family val="1"/>
      </rPr>
      <t>CASPER</t>
    </r>
  </si>
  <si>
    <r>
      <rPr>
        <u/>
        <sz val="7.5"/>
        <color rgb="FF0462C1"/>
        <rFont val="Calibri"/>
        <family val="1"/>
      </rPr>
      <t>BALTIMORE</t>
    </r>
  </si>
  <si>
    <r>
      <rPr>
        <u/>
        <sz val="7.5"/>
        <color rgb="FF0462C1"/>
        <rFont val="Calibri"/>
        <family val="1"/>
      </rPr>
      <t>CLEVELAND</t>
    </r>
  </si>
  <si>
    <r>
      <rPr>
        <u/>
        <sz val="7.5"/>
        <color rgb="FF0462C1"/>
        <rFont val="Calibri"/>
        <family val="1"/>
      </rPr>
      <t>BOSTON</t>
    </r>
  </si>
  <si>
    <r>
      <rPr>
        <u/>
        <sz val="7.5"/>
        <color rgb="FF0462C1"/>
        <rFont val="Calibri"/>
        <family val="1"/>
      </rPr>
      <t>CHICAGO</t>
    </r>
  </si>
  <si>
    <r>
      <rPr>
        <u/>
        <sz val="7.5"/>
        <color rgb="FF0462C1"/>
        <rFont val="Calibri"/>
        <family val="1"/>
      </rPr>
      <t>DETROIT</t>
    </r>
  </si>
  <si>
    <r>
      <rPr>
        <u/>
        <sz val="7.5"/>
        <color rgb="FF0462C1"/>
        <rFont val="Calibri"/>
        <family val="1"/>
      </rPr>
      <t>KANSAS</t>
    </r>
  </si>
  <si>
    <r>
      <rPr>
        <u/>
        <sz val="7.5"/>
        <color rgb="FF0462C1"/>
        <rFont val="Calibri"/>
        <family val="1"/>
      </rPr>
      <t>AUSTIN</t>
    </r>
  </si>
  <si>
    <r>
      <rPr>
        <u/>
        <sz val="7.5"/>
        <color rgb="FF0462C1"/>
        <rFont val="Calibri"/>
        <family val="1"/>
      </rPr>
      <t>PORTLAND</t>
    </r>
  </si>
  <si>
    <r>
      <rPr>
        <u/>
        <sz val="7.5"/>
        <color rgb="FF0462C1"/>
        <rFont val="Calibri"/>
        <family val="1"/>
      </rPr>
      <t>MICHIGAN</t>
    </r>
  </si>
  <si>
    <r>
      <rPr>
        <u/>
        <sz val="7.5"/>
        <color rgb="FF0462C1"/>
        <rFont val="Calibri"/>
        <family val="1"/>
      </rPr>
      <t>OREGON</t>
    </r>
  </si>
  <si>
    <r>
      <rPr>
        <u/>
        <sz val="7.5"/>
        <color rgb="FF0462C1"/>
        <rFont val="Calibri"/>
        <family val="1"/>
      </rPr>
      <t>BUFFALO</t>
    </r>
  </si>
  <si>
    <t>neto</t>
  </si>
  <si>
    <t>PRECIO NETO DE COMPRA</t>
  </si>
  <si>
    <t>FAMILIA</t>
  </si>
  <si>
    <t>SUBFAMILIA</t>
  </si>
  <si>
    <t>Bota de seguridad</t>
  </si>
  <si>
    <t>ZAPATO CHEROKEEAZ S1+P+CI+SRC+ESD Marino  35</t>
  </si>
  <si>
    <t>ZAPATO CHEROKEEAZ S1+P+CI+SRC+ESD Marino  36</t>
  </si>
  <si>
    <t>ZAPATO CHEROKEEAZ S1+P+CI+SRC+ESD Marino  37</t>
  </si>
  <si>
    <t>ZAPATO CHEROKEEAZ S1+P+CI+SRC+ESD Marino  38</t>
  </si>
  <si>
    <t>ZAPATO CHEROKEEAZ S1+P+CI+SRC+ESD Marino  39</t>
  </si>
  <si>
    <t>ZAPATO CHEROKEEAZ S1+P+CI+SRC+ESD Marino  40</t>
  </si>
  <si>
    <t>ZAPATO CHEROKEEAZ S1+P+CI+SRC+ESD Marino  41</t>
  </si>
  <si>
    <t>ZAPATO CHEROKEEAZ S1+P+CI+SRC+ESD Marino  42</t>
  </si>
  <si>
    <t>ZAPATO CHEROKEEAZ S1+P+CI+SRC+ESD Marino  43</t>
  </si>
  <si>
    <t>ZAPATO CHEROKEEAZ S1+P+CI+SRC+ESD Marino  44</t>
  </si>
  <si>
    <t>ZAPATO CHEROKEEAZ S1+P+CI+SRC+ESD Marino  45</t>
  </si>
  <si>
    <t>ZAPATO CHEROKEEAZ S1+P+CI+SRC+ESD Marino  46</t>
  </si>
  <si>
    <t>ZAPATO CHEROKEEAZ S1+P+CI+SRC+ESD Marino  47</t>
  </si>
  <si>
    <t>ZAPATO CHEROKEEAZ S1+P+CI+SRC+ESD Marino  48</t>
  </si>
  <si>
    <t>ZAPATO CHEROKEEAZ S1+P+CI+SRC+ESD Marino  49</t>
  </si>
  <si>
    <t>ZAPATO CHEROKEEAZ S1+P+CI+SRC+ESD Marino  50</t>
  </si>
  <si>
    <t>ZAPATO CHEROKEEGR S1+P+CI+SRC+ESD Gris  35</t>
  </si>
  <si>
    <t>ZAPATO CHEROKEEGR S1+P+CI+SRC+ESD Gris  36</t>
  </si>
  <si>
    <t>ZAPATO CHEROKEEGR S1+P+CI+SRC+ESD Gris  37</t>
  </si>
  <si>
    <t>ZAPATO CHEROKEEGR S1+P+CI+SRC+ESD Gris  38</t>
  </si>
  <si>
    <t>ZAPATO CHEROKEEGR S1+P+CI+SRC+ESD Gris  39</t>
  </si>
  <si>
    <t>ZAPATO CHEROKEEGR S1+P+CI+SRC+ESD Gris  40</t>
  </si>
  <si>
    <t>ZAPATO CHEROKEEGR S1+P+CI+SRC+ESD Gris  41</t>
  </si>
  <si>
    <t>ZAPATO CHEROKEEGR S1+P+CI+SRC+ESD Gris  42</t>
  </si>
  <si>
    <t>ZAPATO CHEROKEEGR S1+P+CI+SRC+ESD Gris  43</t>
  </si>
  <si>
    <t>ZAPATO CHEROKEEGR S1+P+CI+SRC+ESD Gris  44</t>
  </si>
  <si>
    <t>ZAPATO CHEROKEEGR S1+P+CI+SRC+ESD Gris  45</t>
  </si>
  <si>
    <t>ZAPATO CHEROKEEGR S1+P+CI+SRC+ESD Gris  46</t>
  </si>
  <si>
    <t>ZAPATO CHEROKEEGR S1+P+CI+SRC+ESD Gris  47</t>
  </si>
  <si>
    <t>ZAPATO CHEROKEEGR S1+P+CI+SRC+ESD Gris  48</t>
  </si>
  <si>
    <t>ZAPATO CHEROKEEGR S1+P+CI+SRC+ESD Gris  49</t>
  </si>
  <si>
    <t>ZAPATO CHEROKEEGR S1+P+CI+SRC+ESD Gris  50</t>
  </si>
  <si>
    <t>Zapato de seguridad</t>
  </si>
  <si>
    <t>Otros</t>
  </si>
  <si>
    <t>Calzado ocupacional</t>
  </si>
  <si>
    <t>Etiquetas de fila</t>
  </si>
  <si>
    <t>Total general</t>
  </si>
  <si>
    <t>S2</t>
  </si>
  <si>
    <t>S3</t>
  </si>
  <si>
    <t>O6</t>
  </si>
  <si>
    <t>S7</t>
  </si>
  <si>
    <t>S4</t>
  </si>
  <si>
    <t>S5</t>
  </si>
  <si>
    <t>SB</t>
  </si>
  <si>
    <t>S1</t>
  </si>
  <si>
    <t>O1</t>
  </si>
  <si>
    <t>MF</t>
  </si>
  <si>
    <t>PRECIO VENTA (SIN IVA)</t>
  </si>
  <si>
    <t>PRECIO VENTA (CON 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</si>
</sst>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.5"/>
      <name val="Calibri"/>
      <family val="2"/>
    </font>
    <font>
      <b/>
      <sz val="7.5"/>
      <color rgb="FFFFFFFF"/>
      <name val="Calibri"/>
      <family val="1"/>
    </font>
    <font>
      <sz val="10"/>
      <color theme="1"/>
      <name val="Times New Roman"/>
      <family val="1"/>
    </font>
    <font>
      <u/>
      <sz val="7.5"/>
      <color rgb="FF0462C1"/>
      <name val="Calibri"/>
      <family val="1"/>
    </font>
    <font>
      <sz val="7.5"/>
      <color rgb="FF0462C1"/>
      <name val="Calibri"/>
      <family val="1"/>
    </font>
    <font>
      <sz val="7.5"/>
      <name val="Calibri"/>
      <family val="2"/>
    </font>
    <font>
      <sz val="7.5"/>
      <name val="Calibri"/>
      <family val="1"/>
    </font>
    <font>
      <sz val="7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theme="5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5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1"/>
    <xf numFmtId="1" fontId="0" fillId="0" borderId="0" xfId="2" applyNumberFormat="1" applyFont="1"/>
    <xf numFmtId="1" fontId="0" fillId="0" borderId="0" xfId="0" applyNumberFormat="1"/>
    <xf numFmtId="0" fontId="0" fillId="0" borderId="0" xfId="0" applyAlignment="1">
      <alignment horizontal="right"/>
    </xf>
    <xf numFmtId="0" fontId="4" fillId="2" borderId="0" xfId="0" applyFont="1" applyFill="1"/>
    <xf numFmtId="0" fontId="7" fillId="0" borderId="1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4" fontId="12" fillId="0" borderId="3" xfId="3" applyFont="1" applyBorder="1" applyAlignment="1">
      <alignment horizontal="center" vertical="center" shrinkToFit="1"/>
    </xf>
    <xf numFmtId="44" fontId="12" fillId="0" borderId="4" xfId="3" applyFont="1" applyBorder="1" applyAlignment="1">
      <alignment horizontal="center" vertical="center" shrinkToFit="1"/>
    </xf>
    <xf numFmtId="44" fontId="12" fillId="0" borderId="3" xfId="3" applyFont="1" applyBorder="1" applyAlignment="1">
      <alignment horizontal="center" vertical="top" shrinkToFit="1"/>
    </xf>
    <xf numFmtId="44" fontId="12" fillId="0" borderId="4" xfId="3" applyFont="1" applyBorder="1" applyAlignment="1">
      <alignment horizontal="center" vertical="top" shrinkToFit="1"/>
    </xf>
    <xf numFmtId="44" fontId="7" fillId="0" borderId="3" xfId="3" applyFont="1" applyBorder="1" applyAlignment="1">
      <alignment horizontal="left" vertical="top" wrapText="1" indent="1"/>
    </xf>
    <xf numFmtId="8" fontId="7" fillId="0" borderId="4" xfId="3" applyNumberFormat="1" applyFont="1" applyBorder="1" applyAlignment="1">
      <alignment horizontal="left" vertical="top" wrapText="1" indent="1"/>
    </xf>
    <xf numFmtId="44" fontId="7" fillId="0" borderId="4" xfId="3" applyFont="1" applyBorder="1" applyAlignment="1">
      <alignment horizontal="left" vertical="top" wrapText="1" indent="1"/>
    </xf>
    <xf numFmtId="0" fontId="5" fillId="3" borderId="5" xfId="0" applyFont="1" applyFill="1" applyBorder="1" applyAlignment="1">
      <alignment horizontal="center" vertical="top" wrapText="1"/>
    </xf>
    <xf numFmtId="44" fontId="6" fillId="3" borderId="6" xfId="3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44" fontId="12" fillId="0" borderId="8" xfId="3" applyFont="1" applyBorder="1" applyAlignment="1">
      <alignment horizontal="center" vertical="top" shrinkToFit="1"/>
    </xf>
    <xf numFmtId="44" fontId="0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none"/>
      </font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theme="5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20.369537962964" createdVersion="8" refreshedVersion="8" minRefreshableVersion="3" recordCount="724" xr:uid="{988E8757-4403-45B6-9D32-29740272FB5E}">
  <cacheSource type="worksheet">
    <worksheetSource ref="A1:U725" sheet="Hoja1"/>
  </cacheSource>
  <cacheFields count="19">
    <cacheField name="MODELO" numFmtId="0">
      <sharedItems/>
    </cacheField>
    <cacheField name="REF" numFmtId="0">
      <sharedItems count="52">
        <s v="PHILADELPHIA"/>
        <s v="PHILADELPHIANG"/>
        <s v="ALASKA"/>
        <s v="MIAMI"/>
        <s v="COLUMBIA"/>
        <s v="CHICAGO"/>
        <s v="MICHIGAN"/>
        <s v="SAVANNAH"/>
        <s v="BALTIMORE"/>
        <s v="CLEVELAND"/>
        <s v="ASPEN"/>
        <s v="CASPER"/>
        <s v="BRONX"/>
        <s v="INDIANA"/>
        <s v="COLORADO"/>
        <s v="CHESTER"/>
        <s v="AUSTIN"/>
        <s v="DETROIT"/>
        <s v="OREGON"/>
        <s v="CHEROKEEAZ"/>
        <s v="CHEROKEEGR"/>
        <s v="PLANTILLA.PFM"/>
        <s v="DELTA"/>
        <s v="TUCSON"/>
        <s v="FRESNO"/>
        <s v="FARGO"/>
        <s v="DOVERBL"/>
        <s v="DOVERNG"/>
        <s v="RENO"/>
        <s v="DENVER"/>
        <s v="SIOUX"/>
        <s v="NEVADA"/>
        <s v="ATLANTA"/>
        <s v="MEMPHIS"/>
        <s v="VIRGINIA"/>
        <s v="FLORIDA"/>
        <s v="VEGAS"/>
        <s v="BOSTON"/>
        <s v="PORTLAND"/>
        <s v="HOUSTONAM"/>
        <s v="HOUSTONAZ"/>
        <s v="SIDNEY"/>
        <s v="YORKBL"/>
        <s v="YORKNG"/>
        <s v="ROCK"/>
        <s v="TEXAS"/>
        <s v="HARLEM"/>
        <s v="OXFORD"/>
        <s v="LOGAN"/>
        <s v="KANSAS"/>
        <s v="CHEROKEE"/>
        <s v="BUFFALO"/>
      </sharedItems>
    </cacheField>
    <cacheField name="REFERENCIA" numFmtId="0">
      <sharedItems/>
    </cacheField>
    <cacheField name="DESCRIPCION CORTA" numFmtId="0">
      <sharedItems/>
    </cacheField>
    <cacheField name="DESCRIPCIÓN LARGA" numFmtId="0">
      <sharedItems/>
    </cacheField>
    <cacheField name="DESCRIPCIÓN LARGA - MAYUSC 1 LETRA" numFmtId="0">
      <sharedItems/>
    </cacheField>
    <cacheField name="PRECIO NETO DE COMPRA" numFmtId="44">
      <sharedItems containsSemiMixedTypes="0" containsString="0" containsNumber="1" minValue="3.95" maxValue="42"/>
    </cacheField>
    <cacheField name="FAMILIA" numFmtId="44">
      <sharedItems count="4">
        <s v="Bota de seguridad"/>
        <s v="Zapato de seguridad"/>
        <s v="Otros"/>
        <s v="Calzado ocupacional"/>
      </sharedItems>
    </cacheField>
    <cacheField name="SUBFAMILIA" numFmtId="44">
      <sharedItems containsNonDate="0" containsString="0" containsBlank="1" count="1">
        <m/>
      </sharedItems>
    </cacheField>
    <cacheField name="Color" numFmtId="0">
      <sharedItems/>
    </cacheField>
    <cacheField name="MATERIAL CORTE" numFmtId="0">
      <sharedItems containsBlank="1"/>
    </cacheField>
    <cacheField name="PUNTERA" numFmtId="0">
      <sharedItems containsBlank="1"/>
    </cacheField>
    <cacheField name="PLANTILLA" numFmtId="0">
      <sharedItems containsBlank="1"/>
    </cacheField>
    <cacheField name="SUELA" numFmtId="0">
      <sharedItems containsBlank="1"/>
    </cacheField>
    <cacheField name="Talla" numFmtId="0">
      <sharedItems containsMixedTypes="1" containsNumber="1" containsInteger="1" minValue="34" maxValue="50"/>
    </cacheField>
    <cacheField name="EAN13" numFmtId="1">
      <sharedItems containsSemiMixedTypes="0" containsString="0" containsNumber="1" containsInteger="1" minValue="8457780267765" maxValue="8457780350764"/>
    </cacheField>
    <cacheField name="DUN14" numFmtId="1">
      <sharedItems containsMixedTypes="1" containsNumber="1" containsInteger="1" minValue="1845778034840" maxValue="18457780350761"/>
    </cacheField>
    <cacheField name="URL Web" numFmtId="0">
      <sharedItems/>
    </cacheField>
    <cacheField name="URL ficha tec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s v="FOR.PHILADELPHIA"/>
    <x v="0"/>
    <s v="FOR.PHILADELPHIA-00-35"/>
    <s v="BOTA MF S2+CI+FO+SR C/VELC Blanco 35"/>
    <s v="BOTA MF S2+CI+FO+SR C/VELC Blanco 35. FABRICADO EN MICROFIBRA. PUNTERA DE Fibra de vidrio. PLANTILLA No lleva. SUELA DE PU/PU DOBLE DENSIDAD"/>
    <s v="Bota Mf S2+Ci+Fo+Sr C/Velc Blanco 35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35"/>
    <n v="8457780322433"/>
    <s v="18457780322430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36"/>
    <s v="BOTA MF S2+CI+FO+SR C/VELC Blanco 36"/>
    <s v="BOTA MF S2+CI+FO+SR C/VELC Blanco 36. FABRICADO EN MICROFIBRA. PUNTERA DE Fibra de vidrio. PLANTILLA No lleva. SUELA DE PU/PU DOBLE DENSIDAD"/>
    <s v="Bota Mf S2+Ci+Fo+Sr C/Velc Blanco 36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36"/>
    <n v="8457780322440"/>
    <s v="18457780322447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37"/>
    <s v="BOTA MF S2+CI+FO+SR C/VELC Blanco 37"/>
    <s v="BOTA MF S2+CI+FO+SR C/VELC Blanco 37. FABRICADO EN MICROFIBRA. PUNTERA DE Fibra de vidrio. PLANTILLA No lleva. SUELA DE PU/PU DOBLE DENSIDAD"/>
    <s v="Bota Mf S2+Ci+Fo+Sr C/Velc Blanco 37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37"/>
    <n v="8457780322457"/>
    <s v="18457780322454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38"/>
    <s v="BOTA MF S2+CI+FO+SR C/VELC Blanco 38"/>
    <s v="BOTA MF S2+CI+FO+SR C/VELC Blanco 38. FABRICADO EN MICROFIBRA. PUNTERA DE Fibra de vidrio. PLANTILLA No lleva. SUELA DE PU/PU DOBLE DENSIDAD"/>
    <s v="Bota Mf S2+Ci+Fo+Sr C/Velc Blanco 38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38"/>
    <n v="8457780322464"/>
    <s v="18457780322461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39"/>
    <s v="BOTA MF S2+CI+FO+SR C/VELC Blanco 39"/>
    <s v="BOTA MF S2+CI+FO+SR C/VELC Blanco 39. FABRICADO EN MICROFIBRA. PUNTERA DE Fibra de vidrio. PLANTILLA No lleva. SUELA DE PU/PU DOBLE DENSIDAD"/>
    <s v="Bota Mf S2+Ci+Fo+Sr C/Velc Blanco 39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39"/>
    <n v="8457780322471"/>
    <s v="18457780322478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0"/>
    <s v="BOTA MF S2+CI+FO+SR C/VELC Blanco 40"/>
    <s v="BOTA MF S2+CI+FO+SR C/VELC Blanco 40. FABRICADO EN MICROFIBRA. PUNTERA DE Fibra de vidrio. PLANTILLA No lleva. SUELA DE PU/PU DOBLE DENSIDAD"/>
    <s v="Bota Mf S2+Ci+Fo+Sr C/Velc Blanco 40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0"/>
    <n v="8457780322488"/>
    <s v="18457780322485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1"/>
    <s v="BOTA MF S2+CI+FO+SR C/VELC Blanco 41"/>
    <s v="BOTA MF S2+CI+FO+SR C/VELC Blanco 41. FABRICADO EN MICROFIBRA. PUNTERA DE Fibra de vidrio. PLANTILLA No lleva. SUELA DE PU/PU DOBLE DENSIDAD"/>
    <s v="Bota Mf S2+Ci+Fo+Sr C/Velc Blanco 41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1"/>
    <n v="8457780322495"/>
    <s v="18457780322492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2"/>
    <s v="BOTA MF S2+CI+FO+SR C/VELC Blanco 42"/>
    <s v="BOTA MF S2+CI+FO+SR C/VELC Blanco 42. FABRICADO EN MICROFIBRA. PUNTERA DE Fibra de vidrio. PLANTILLA No lleva. SUELA DE PU/PU DOBLE DENSIDAD"/>
    <s v="Bota Mf S2+Ci+Fo+Sr C/Velc Blanco 42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2"/>
    <n v="8457780322501"/>
    <s v="18457780322508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3"/>
    <s v="BOTA MF S2+CI+FO+SR C/VELC Blanco 43"/>
    <s v="BOTA MF S2+CI+FO+SR C/VELC Blanco 43. FABRICADO EN MICROFIBRA. PUNTERA DE Fibra de vidrio. PLANTILLA No lleva. SUELA DE PU/PU DOBLE DENSIDAD"/>
    <s v="Bota Mf S2+Ci+Fo+Sr C/Velc Blanco 43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3"/>
    <n v="8457780322518"/>
    <s v="18457780322515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4"/>
    <s v="BOTA MF S2+CI+FO+SR C/VELC Blanco 44"/>
    <s v="BOTA MF S2+CI+FO+SR C/VELC Blanco 44. FABRICADO EN MICROFIBRA. PUNTERA DE Fibra de vidrio. PLANTILLA No lleva. SUELA DE PU/PU DOBLE DENSIDAD"/>
    <s v="Bota Mf S2+Ci+Fo+Sr C/Velc Blanco 44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4"/>
    <n v="8457780322525"/>
    <s v="18457780322522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5"/>
    <s v="BOTA MF S2+CI+FO+SR C/VELC Blanco 45"/>
    <s v="BOTA MF S2+CI+FO+SR C/VELC Blanco 45. FABRICADO EN MICROFIBRA. PUNTERA DE Fibra de vidrio. PLANTILLA No lleva. SUELA DE PU/PU DOBLE DENSIDAD"/>
    <s v="Bota Mf S2+Ci+Fo+Sr C/Velc Blanco 45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5"/>
    <n v="8457780322532"/>
    <s v="18457780322539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6"/>
    <s v="BOTA MF S2+CI+FO+SR C/VELC Blanco 46"/>
    <s v="BOTA MF S2+CI+FO+SR C/VELC Blanco 46. FABRICADO EN MICROFIBRA. PUNTERA DE Fibra de vidrio. PLANTILLA No lleva. SUELA DE PU/PU DOBLE DENSIDAD"/>
    <s v="Bota Mf S2+Ci+Fo+Sr C/Velc Blanco 46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6"/>
    <n v="8457780322549"/>
    <s v="18457780322546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7"/>
    <s v="BOTA MF S2+CI+FO+SR C/VELC Blanco 47"/>
    <s v="BOTA MF S2+CI+FO+SR C/VELC Blanco 47. FABRICADO EN MICROFIBRA. PUNTERA DE Fibra de vidrio. PLANTILLA No lleva. SUELA DE PU/PU DOBLE DENSIDAD"/>
    <s v="Bota Mf S2+Ci+Fo+Sr C/Velc Blanco 47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7"/>
    <n v="8457780322556"/>
    <s v="18457780322553"/>
    <s v="https://forli.es/white-metal-free/364-10938-PHILADELPHIA.html#/27-talla-35/48-color-blanco"/>
    <s v="https://forli.es/index.php?controller=attachment&amp;id_attachment=222"/>
  </r>
  <r>
    <s v="FOR.PHILADELPHIA"/>
    <x v="0"/>
    <s v="FOR.PHILADELPHIA-00-48"/>
    <s v="BOTA MF S2+CI+FO+SR C/VELC Blanco 48"/>
    <s v="BOTA MF S2+CI+FO+SR C/VELC Blanco 48. FABRICADO EN MICROFIBRA. PUNTERA DE Fibra de vidrio. PLANTILLA No lleva. SUELA DE PU/PU DOBLE DENSIDAD"/>
    <s v="Bota Mf S2+Ci+Fo+Sr C/Velc Blanco 48. Fabricado En Microfibra. Puntera De Fibra De Vidrio. Plantilla No Lleva. Suela De Pu/Pu Doble Densidad"/>
    <n v="18.95"/>
    <x v="0"/>
    <x v="0"/>
    <s v="BLANCO"/>
    <s v="MICROFIBRA"/>
    <s v="Fibra de vidrio"/>
    <s v="No lleva"/>
    <s v="PU/PU DOBLE DENSIDAD"/>
    <n v="48"/>
    <n v="8457780322563"/>
    <s v="18457780322560"/>
    <s v="https://forli.es/white-metal-free/364-10938-PHILADELPHIA.html#/27-talla-35/48-color-blanco"/>
    <s v="https://forli.es/index.php?controller=attachment&amp;id_attachment=222"/>
  </r>
  <r>
    <s v="FOR.PHILADELPHIANG"/>
    <x v="1"/>
    <s v="FOR.PHILADELPHIANG-99-35"/>
    <s v="BOTA MF S2+CI+FO+SR C/VELC Negro 35"/>
    <s v="BOTA MF S2+CI+FO+SR C/VELC Negro 35. FABRICADO EN MICROFIBRA. PUNTERA DE Fibra de vidrio. PLANTILLA No lleva. SUELA DE PU/PU DOBLE DENSIDAD"/>
    <s v="Bota Mf S2+Ci+Fo+Sr C/Velc Negro 35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35"/>
    <n v="8457780348266"/>
    <n v="18457780348263"/>
    <s v="https://forli.es/inicio/415-philadelphia-ng-s2-ci-fo-sr.html"/>
    <m/>
  </r>
  <r>
    <s v="FOR.PHILADELPHIANG"/>
    <x v="1"/>
    <s v="FOR.PHILADELPHIANG-99-36"/>
    <s v="BOTA MF S2+CI+FO+SR C/VELC Negro 36"/>
    <s v="BOTA MF S2+CI+FO+SR C/VELC Negro 36. FABRICADO EN MICROFIBRA. PUNTERA DE Fibra de vidrio. PLANTILLA No lleva. SUELA DE PU/PU DOBLE DENSIDAD"/>
    <s v="Bota Mf S2+Ci+Fo+Sr C/Velc Negro 36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36"/>
    <n v="8457780348273"/>
    <n v="18457780348270"/>
    <s v="https://forli.es/inicio/415-philadelphia-ng-s2-ci-fo-sr.html"/>
    <m/>
  </r>
  <r>
    <s v="FOR.PHILADELPHIANG"/>
    <x v="1"/>
    <s v="FOR.PHILADELPHIANG-99-37"/>
    <s v="BOTA MF S2+CI+FO+SR C/VELC Negro 37"/>
    <s v="BOTA MF S2+CI+FO+SR C/VELC Negro 37. FABRICADO EN MICROFIBRA. PUNTERA DE Fibra de vidrio. PLANTILLA No lleva. SUELA DE PU/PU DOBLE DENSIDAD"/>
    <s v="Bota Mf S2+Ci+Fo+Sr C/Velc Negro 37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37"/>
    <n v="8457780348280"/>
    <n v="18457780348287"/>
    <s v="https://forli.es/inicio/415-philadelphia-ng-s2-ci-fo-sr.html"/>
    <m/>
  </r>
  <r>
    <s v="FOR.PHILADELPHIANG"/>
    <x v="1"/>
    <s v="FOR.PHILADELPHIANG-99-38"/>
    <s v="BOTA MF S2+CI+FO+SR C/VELC Negro 38"/>
    <s v="BOTA MF S2+CI+FO+SR C/VELC Negro 38. FABRICADO EN MICROFIBRA. PUNTERA DE Fibra de vidrio. PLANTILLA No lleva. SUELA DE PU/PU DOBLE DENSIDAD"/>
    <s v="Bota Mf S2+Ci+Fo+Sr C/Velc Negro 38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38"/>
    <n v="8457780348297"/>
    <n v="18457780348294"/>
    <s v="https://forli.es/inicio/415-philadelphia-ng-s2-ci-fo-sr.html"/>
    <m/>
  </r>
  <r>
    <s v="FOR.PHILADELPHIANG"/>
    <x v="1"/>
    <s v="FOR.PHILADELPHIANG-99-39"/>
    <s v="BOTA MF S2+CI+FO+SR C/VELC Negro 39"/>
    <s v="BOTA MF S2+CI+FO+SR C/VELC Negro 39. FABRICADO EN MICROFIBRA. PUNTERA DE Fibra de vidrio. PLANTILLA No lleva. SUELA DE PU/PU DOBLE DENSIDAD"/>
    <s v="Bota Mf S2+Ci+Fo+Sr C/Velc Negro 39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39"/>
    <n v="8457780348303"/>
    <n v="18457780348300"/>
    <s v="https://forli.es/inicio/415-philadelphia-ng-s2-ci-fo-sr.html"/>
    <m/>
  </r>
  <r>
    <s v="FOR.PHILADELPHIANG"/>
    <x v="1"/>
    <s v="FOR.PHILADELPHIANG-99-40"/>
    <s v="BOTA MF S2+CI+FO+SR C/VELC Negro 40"/>
    <s v="BOTA MF S2+CI+FO+SR C/VELC Negro 40. FABRICADO EN MICROFIBRA. PUNTERA DE Fibra de vidrio. PLANTILLA No lleva. SUELA DE PU/PU DOBLE DENSIDAD"/>
    <s v="Bota Mf S2+Ci+Fo+Sr C/Velc Negro 40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0"/>
    <n v="8457780348310"/>
    <n v="18457780348317"/>
    <s v="https://forli.es/inicio/415-philadelphia-ng-s2-ci-fo-sr.html"/>
    <m/>
  </r>
  <r>
    <s v="FOR.PHILADELPHIANG"/>
    <x v="1"/>
    <s v="FOR.PHILADELPHIANG-99-41"/>
    <s v="BOTA MF S2+CI+FO+SR C/VELC Negro 41"/>
    <s v="BOTA MF S2+CI+FO+SR C/VELC Negro 41. FABRICADO EN MICROFIBRA. PUNTERA DE Fibra de vidrio. PLANTILLA No lleva. SUELA DE PU/PU DOBLE DENSIDAD"/>
    <s v="Bota Mf S2+Ci+Fo+Sr C/Velc Negro 41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1"/>
    <n v="8457780348327"/>
    <n v="18457780348324"/>
    <s v="https://forli.es/inicio/415-philadelphia-ng-s2-ci-fo-sr.html"/>
    <m/>
  </r>
  <r>
    <s v="FOR.PHILADELPHIANG"/>
    <x v="1"/>
    <s v="FOR.PHILADELPHIANG-99-42"/>
    <s v="BOTA MF S2+CI+FO+SR C/VELC Negro 42"/>
    <s v="BOTA MF S2+CI+FO+SR C/VELC Negro 42. FABRICADO EN MICROFIBRA. PUNTERA DE Fibra de vidrio. PLANTILLA No lleva. SUELA DE PU/PU DOBLE DENSIDAD"/>
    <s v="Bota Mf S2+Ci+Fo+Sr C/Velc Negro 42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2"/>
    <n v="8457780348334"/>
    <n v="18457780348331"/>
    <s v="https://forli.es/inicio/415-philadelphia-ng-s2-ci-fo-sr.html"/>
    <m/>
  </r>
  <r>
    <s v="FOR.PHILADELPHIANG"/>
    <x v="1"/>
    <s v="FOR.PHILADELPHIANG-99-43"/>
    <s v="BOTA MF S2+CI+FO+SR C/VELC Negro 43"/>
    <s v="BOTA MF S2+CI+FO+SR C/VELC Negro 43. FABRICADO EN MICROFIBRA. PUNTERA DE Fibra de vidrio. PLANTILLA No lleva. SUELA DE PU/PU DOBLE DENSIDAD"/>
    <s v="Bota Mf S2+Ci+Fo+Sr C/Velc Negro 43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3"/>
    <n v="8457780348341"/>
    <n v="18457780348348"/>
    <s v="https://forli.es/inicio/415-philadelphia-ng-s2-ci-fo-sr.html"/>
    <m/>
  </r>
  <r>
    <s v="FOR.PHILADELPHIANG"/>
    <x v="1"/>
    <s v="FOR.PHILADELPHIANG-99-44"/>
    <s v="BOTA MF S2+CI+FO+SR C/VELC Negro 44"/>
    <s v="BOTA MF S2+CI+FO+SR C/VELC Negro 44. FABRICADO EN MICROFIBRA. PUNTERA DE Fibra de vidrio. PLANTILLA No lleva. SUELA DE PU/PU DOBLE DENSIDAD"/>
    <s v="Bota Mf S2+Ci+Fo+Sr C/Velc Negro 44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4"/>
    <n v="8457780348358"/>
    <n v="18457780348355"/>
    <s v="https://forli.es/inicio/415-philadelphia-ng-s2-ci-fo-sr.html"/>
    <m/>
  </r>
  <r>
    <s v="FOR.PHILADELPHIANG"/>
    <x v="1"/>
    <s v="FOR.PHILADELPHIANG-99-45"/>
    <s v="BOTA MF S2+CI+FO+SR C/VELC Negro 45"/>
    <s v="BOTA MF S2+CI+FO+SR C/VELC Negro 45. FABRICADO EN MICROFIBRA. PUNTERA DE Fibra de vidrio. PLANTILLA No lleva. SUELA DE PU/PU DOBLE DENSIDAD"/>
    <s v="Bota Mf S2+Ci+Fo+Sr C/Velc Negro 45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5"/>
    <n v="8457780348365"/>
    <n v="18457780348362"/>
    <s v="https://forli.es/inicio/415-philadelphia-ng-s2-ci-fo-sr.html"/>
    <m/>
  </r>
  <r>
    <s v="FOR.PHILADELPHIANG"/>
    <x v="1"/>
    <s v="FOR.PHILADELPHIANG-99-46"/>
    <s v="BOTA MF S2+CI+FO+SR C/VELC Negro 46"/>
    <s v="BOTA MF S2+CI+FO+SR C/VELC Negro 46. FABRICADO EN MICROFIBRA. PUNTERA DE Fibra de vidrio. PLANTILLA No lleva. SUELA DE PU/PU DOBLE DENSIDAD"/>
    <s v="Bota Mf S2+Ci+Fo+Sr C/Velc Negro 46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6"/>
    <n v="8457780348372"/>
    <n v="18457780348379"/>
    <s v="https://forli.es/inicio/415-philadelphia-ng-s2-ci-fo-sr.html"/>
    <m/>
  </r>
  <r>
    <s v="FOR.PHILADELPHIANG"/>
    <x v="1"/>
    <s v="FOR.PHILADELPHIANG-99-47"/>
    <s v="BOTA MF S2+CI+FO+SR C/VELC Negro 47"/>
    <s v="BOTA MF S2+CI+FO+SR C/VELC Negro 47. FABRICADO EN MICROFIBRA. PUNTERA DE Fibra de vidrio. PLANTILLA No lleva. SUELA DE PU/PU DOBLE DENSIDAD"/>
    <s v="Bota Mf S2+Ci+Fo+Sr C/Velc Negro 47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7"/>
    <n v="8457780348389"/>
    <n v="18457780348386"/>
    <s v="https://forli.es/inicio/415-philadelphia-ng-s2-ci-fo-sr.html"/>
    <m/>
  </r>
  <r>
    <s v="FOR.PHILADELPHIANG"/>
    <x v="1"/>
    <s v="FOR.PHILADELPHIANG-99-48"/>
    <s v="BOTA MF S2+CI+FO+SR C/VELC Negro 48"/>
    <s v="BOTA MF S2+CI+FO+SR C/VELC Negro 48. FABRICADO EN MICROFIBRA. PUNTERA DE Fibra de vidrio. PLANTILLA No lleva. SUELA DE PU/PU DOBLE DENSIDAD"/>
    <s v="Bota Mf S2+Ci+Fo+Sr C/Velc Negro 48. Fabricado En Microfibra. Puntera De Fibra De Vidrio. Plantilla No Lleva. Suela De Pu/Pu Doble Densidad"/>
    <n v="18.95"/>
    <x v="0"/>
    <x v="0"/>
    <s v="NEGRO"/>
    <s v="MICROFIBRA"/>
    <s v="Fibra de vidrio"/>
    <s v="No lleva"/>
    <s v="PU/PU DOBLE DENSIDAD"/>
    <n v="48"/>
    <n v="8457780348396"/>
    <n v="18457780348393"/>
    <s v="https://forli.es/inicio/415-philadelphia-ng-s2-ci-fo-sr.html"/>
    <m/>
  </r>
  <r>
    <s v="FOR.ALASKA"/>
    <x v="2"/>
    <s v="FOR.ALASKA-99-35"/>
    <s v="BOTA MF S3+CI+SRC+ESD Negro 35"/>
    <s v="BOTA MF S3+CI+SRC+ESD Negro 35. FABRICADO EN MICROFIBRA ACABADO NOBUK. PUNTERA DE Fibra de vidrio. PLANTILLA Antiperforación textil. SUELA DE PU/PU DOBLE DENSIDAD"/>
    <s v="Bota Mf S3+Ci+Src+Esd Negro 35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35"/>
    <n v="8457780310713"/>
    <s v="18457780310710"/>
    <s v="https://forli.es/calzado-de-seguridad-ocupacional/265-2131-ALASKA.html#/27-talla-35/42-color-negro_black"/>
    <s v="https://forli.es/index.php?controller=attachment&amp;id_attachment=77"/>
  </r>
  <r>
    <s v="FOR.MIAMI"/>
    <x v="3"/>
    <s v="FOR.MIAMI-99-35"/>
    <s v="BOTA MF S3+CI+SRC+ESD Negro 35"/>
    <s v="BOTA MF S3+CI+SRC+ESD Negro 35. FABRICADO EN MICROFIBRA ACABADO PIEL FULL GRAIN . PUNTERA DE Fibra de vidrio. PLANTILLA Antiperforación textil. SUELA DE PU/PU DOBLE DENSIDAD"/>
    <s v="Bota Mf S3+Ci+Src+Esd Negro 35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35"/>
    <n v="8457780304026"/>
    <s v="18457780304023"/>
    <s v="https://forli.es/medium-metal-free/276-2275-MIAMI.html#/27-talla-35/42-color-negro_black"/>
    <s v="https://forli.es/index.php?controller=attachment&amp;id_attachment=116"/>
  </r>
  <r>
    <s v="FOR.ALASKA"/>
    <x v="2"/>
    <s v="FOR.ALASKA-99-36"/>
    <s v="BOTA MF S3+CI+SRC+ESD Negro 36"/>
    <s v="BOTA MF S3+CI+SRC+ESD Negro 36. FABRICADO EN MICROFIBRA ACABADO NOBUK. PUNTERA DE Fibra de vidrio. PLANTILLA Antiperforación textil. SUELA DE PU/PU DOBLE DENSIDAD"/>
    <s v="Bota Mf S3+Ci+Src+Esd Negro 36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36"/>
    <n v="8457780310720"/>
    <s v="18457780310727"/>
    <s v="https://forli.es/calzado-de-seguridad-ocupacional/265-2131-ALASKA.html#/27-talla-35/42-color-negro_black"/>
    <s v="https://forli.es/index.php?controller=attachment&amp;id_attachment=77"/>
  </r>
  <r>
    <s v="FOR.MIAMI"/>
    <x v="3"/>
    <s v="FOR.MIAMI-99-36"/>
    <s v="BOTA MF S3+CI+SRC+ESD Negro 36"/>
    <s v="BOTA MF S3+CI+SRC+ESD Negro 36. FABRICADO EN MICROFIBRA ACABADO PIEL FULL GRAIN . PUNTERA DE Fibra de vidrio. PLANTILLA Antiperforación textil. SUELA DE PU/PU DOBLE DENSIDAD"/>
    <s v="Bota Mf S3+Ci+Src+Esd Negro 36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36"/>
    <n v="8457780268724"/>
    <s v="18457780268721"/>
    <s v="https://forli.es/medium-metal-free/276-2275-MIAMI.html#/27-talla-35/42-color-negro_black"/>
    <s v="https://forli.es/index.php?controller=attachment&amp;id_attachment=116"/>
  </r>
  <r>
    <s v="FOR.ALASKA"/>
    <x v="2"/>
    <s v="FOR.ALASKA-99-37"/>
    <s v="BOTA MF S3+CI+SRC+ESD Negro 37"/>
    <s v="BOTA MF S3+CI+SRC+ESD Negro 37. FABRICADO EN MICROFIBRA ACABADO NOBUK. PUNTERA DE Fibra de vidrio. PLANTILLA Antiperforación textil. SUELA DE PU/PU DOBLE DENSIDAD"/>
    <s v="Bota Mf S3+Ci+Src+Esd Negro 37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37"/>
    <n v="8457780310737"/>
    <s v="18457780310734"/>
    <s v="https://forli.es/calzado-de-seguridad-ocupacional/265-2131-ALASKA.html#/27-talla-35/42-color-negro_black"/>
    <s v="https://forli.es/index.php?controller=attachment&amp;id_attachment=77"/>
  </r>
  <r>
    <s v="FOR.MIAMI"/>
    <x v="3"/>
    <s v="FOR.MIAMI-99-37"/>
    <s v="BOTA MF S3+CI+SRC+ESD Negro 37"/>
    <s v="BOTA MF S3+CI+SRC+ESD Negro 37. FABRICADO EN MICROFIBRA ACABADO PIEL FULL GRAIN . PUNTERA DE Fibra de vidrio. PLANTILLA Antiperforación textil. SUELA DE PU/PU DOBLE DENSIDAD"/>
    <s v="Bota Mf S3+Ci+Src+Esd Negro 37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37"/>
    <n v="8457780268731"/>
    <s v="18457780268738"/>
    <s v="https://forli.es/medium-metal-free/276-2275-MIAMI.html#/27-talla-35/42-color-negro_black"/>
    <s v="https://forli.es/index.php?controller=attachment&amp;id_attachment=116"/>
  </r>
  <r>
    <s v="FOR.ALASKA"/>
    <x v="2"/>
    <s v="FOR.ALASKA-99-38"/>
    <s v="BOTA MF S3+CI+SRC+ESD Negro 38"/>
    <s v="BOTA MF S3+CI+SRC+ESD Negro 38. FABRICADO EN MICROFIBRA ACABADO NOBUK. PUNTERA DE Fibra de vidrio. PLANTILLA Antiperforación textil. SUELA DE PU/PU DOBLE DENSIDAD"/>
    <s v="Bota Mf S3+Ci+Src+Esd Negro 38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38"/>
    <n v="8457780310744"/>
    <s v="18457780310741"/>
    <s v="https://forli.es/calzado-de-seguridad-ocupacional/265-2131-ALASKA.html#/27-talla-35/42-color-negro_black"/>
    <s v="https://forli.es/index.php?controller=attachment&amp;id_attachment=77"/>
  </r>
  <r>
    <s v="FOR.MIAMI"/>
    <x v="3"/>
    <s v="FOR.MIAMI-99-38"/>
    <s v="BOTA MF S3+CI+SRC+ESD Negro 38"/>
    <s v="BOTA MF S3+CI+SRC+ESD Negro 38. FABRICADO EN MICROFIBRA ACABADO PIEL FULL GRAIN . PUNTERA DE Fibra de vidrio. PLANTILLA Antiperforación textil. SUELA DE PU/PU DOBLE DENSIDAD"/>
    <s v="Bota Mf S3+Ci+Src+Esd Negro 38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38"/>
    <n v="8457780268748"/>
    <s v="18457780268745"/>
    <s v="https://forli.es/medium-metal-free/276-2275-MIAMI.html#/27-talla-35/42-color-negro_black"/>
    <s v="https://forli.es/index.php?controller=attachment&amp;id_attachment=116"/>
  </r>
  <r>
    <s v="FOR.ALASKA"/>
    <x v="2"/>
    <s v="FOR.ALASKA-99-39"/>
    <s v="BOTA MF S3+CI+SRC+ESD Negro 39"/>
    <s v="BOTA MF S3+CI+SRC+ESD Negro 39. FABRICADO EN MICROFIBRA ACABADO NOBUK. PUNTERA DE Fibra de vidrio. PLANTILLA Antiperforación textil. SUELA DE PU/PU DOBLE DENSIDAD"/>
    <s v="Bota Mf S3+Ci+Src+Esd Negro 39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39"/>
    <n v="8457780310751"/>
    <s v="18457780310758"/>
    <s v="https://forli.es/calzado-de-seguridad-ocupacional/265-2131-ALASKA.html#/27-talla-35/42-color-negro_black"/>
    <s v="https://forli.es/index.php?controller=attachment&amp;id_attachment=77"/>
  </r>
  <r>
    <s v="FOR.MIAMI"/>
    <x v="3"/>
    <s v="FOR.MIAMI-99-39"/>
    <s v="BOTA MF S3+CI+SRC+ESD Negro 39"/>
    <s v="BOTA MF S3+CI+SRC+ESD Negro 39. FABRICADO EN MICROFIBRA ACABADO PIEL FULL GRAIN . PUNTERA DE Fibra de vidrio. PLANTILLA Antiperforación textil. SUELA DE PU/PU DOBLE DENSIDAD"/>
    <s v="Bota Mf S3+Ci+Src+Esd Negro 39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39"/>
    <n v="8457780268755"/>
    <s v="18457780268752"/>
    <s v="https://forli.es/medium-metal-free/276-2275-MIAMI.html#/27-talla-35/42-color-negro_black"/>
    <s v="https://forli.es/index.php?controller=attachment&amp;id_attachment=116"/>
  </r>
  <r>
    <s v="FOR.ALASKA"/>
    <x v="2"/>
    <s v="FOR.ALASKA-99-40"/>
    <s v="BOTA MF S3+CI+SRC+ESD Negro 40"/>
    <s v="BOTA MF S3+CI+SRC+ESD Negro 40. FABRICADO EN MICROFIBRA ACABADO NOBUK. PUNTERA DE Fibra de vidrio. PLANTILLA Antiperforación textil. SUELA DE PU/PU DOBLE DENSIDAD"/>
    <s v="Bota Mf S3+Ci+Src+Esd Negro 40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0"/>
    <n v="8457780310768"/>
    <s v="18457780310765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0"/>
    <s v="BOTA MF S3+CI+SRC+ESD Negro 40"/>
    <s v="BOTA MF S3+CI+SRC+ESD Negro 40. FABRICADO EN MICROFIBRA ACABADO PIEL FULL GRAIN . PUNTERA DE Fibra de vidrio. PLANTILLA Antiperforación textil. SUELA DE PU/PU DOBLE DENSIDAD"/>
    <s v="Bota Mf S3+Ci+Src+Esd Negro 40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0"/>
    <n v="8457780268762"/>
    <s v="18457780268769"/>
    <s v="https://forli.es/medium-metal-free/276-2275-MIAMI.html#/27-talla-35/42-color-negro_black"/>
    <s v="https://forli.es/index.php?controller=attachment&amp;id_attachment=116"/>
  </r>
  <r>
    <s v="FOR.ALASKA"/>
    <x v="2"/>
    <s v="FOR.ALASKA-99-41"/>
    <s v="BOTA MF S3+CI+SRC+ESD Negro 41"/>
    <s v="BOTA MF S3+CI+SRC+ESD Negro 41. FABRICADO EN MICROFIBRA ACABADO NOBUK. PUNTERA DE Fibra de vidrio. PLANTILLA Antiperforación textil. SUELA DE PU/PU DOBLE DENSIDAD"/>
    <s v="Bota Mf S3+Ci+Src+Esd Negro 41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1"/>
    <n v="8457780310775"/>
    <s v="18457780310772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1"/>
    <s v="BOTA MF S3+CI+SRC+ESD Negro 41"/>
    <s v="BOTA MF S3+CI+SRC+ESD Negro 41. FABRICADO EN MICROFIBRA ACABADO PIEL FULL GRAIN . PUNTERA DE Fibra de vidrio. PLANTILLA Antiperforación textil. SUELA DE PU/PU DOBLE DENSIDAD"/>
    <s v="Bota Mf S3+Ci+Src+Esd Negro 41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1"/>
    <n v="8457780268779"/>
    <s v="18457780268776"/>
    <s v="https://forli.es/medium-metal-free/276-2275-MIAMI.html#/27-talla-35/42-color-negro_black"/>
    <s v="https://forli.es/index.php?controller=attachment&amp;id_attachment=116"/>
  </r>
  <r>
    <s v="FOR.ALASKA"/>
    <x v="2"/>
    <s v="FOR.ALASKA-99-42"/>
    <s v="BOTA MF S3+CI+SRC+ESD Negro 42"/>
    <s v="BOTA MF S3+CI+SRC+ESD Negro 42. FABRICADO EN MICROFIBRA ACABADO NOBUK. PUNTERA DE Fibra de vidrio. PLANTILLA Antiperforación textil. SUELA DE PU/PU DOBLE DENSIDAD"/>
    <s v="Bota Mf S3+Ci+Src+Esd Negro 42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2"/>
    <n v="8457780310782"/>
    <s v="18457780310789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2"/>
    <s v="BOTA MF S3+CI+SRC+ESD Negro 42"/>
    <s v="BOTA MF S3+CI+SRC+ESD Negro 42. FABRICADO EN MICROFIBRA ACABADO PIEL FULL GRAIN . PUNTERA DE Fibra de vidrio. PLANTILLA Antiperforación textil. SUELA DE PU/PU DOBLE DENSIDAD"/>
    <s v="Bota Mf S3+Ci+Src+Esd Negro 42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2"/>
    <n v="8457780268786"/>
    <s v="18457780268783"/>
    <s v="https://forli.es/medium-metal-free/276-2275-MIAMI.html#/27-talla-35/42-color-negro_black"/>
    <s v="https://forli.es/index.php?controller=attachment&amp;id_attachment=116"/>
  </r>
  <r>
    <s v="FOR.ALASKA"/>
    <x v="2"/>
    <s v="FOR.ALASKA-99-43"/>
    <s v="BOTA MF S3+CI+SRC+ESD Negro 43"/>
    <s v="BOTA MF S3+CI+SRC+ESD Negro 43. FABRICADO EN MICROFIBRA ACABADO NOBUK. PUNTERA DE Fibra de vidrio. PLANTILLA Antiperforación textil. SUELA DE PU/PU DOBLE DENSIDAD"/>
    <s v="Bota Mf S3+Ci+Src+Esd Negro 43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3"/>
    <n v="8457780310799"/>
    <s v="18457780310796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3"/>
    <s v="BOTA MF S3+CI+SRC+ESD Negro 43"/>
    <s v="BOTA MF S3+CI+SRC+ESD Negro 43. FABRICADO EN MICROFIBRA ACABADO PIEL FULL GRAIN . PUNTERA DE Fibra de vidrio. PLANTILLA Antiperforación textil. SUELA DE PU/PU DOBLE DENSIDAD"/>
    <s v="Bota Mf S3+Ci+Src+Esd Negro 43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3"/>
    <n v="8457780268793"/>
    <s v="18457780268790"/>
    <s v="https://forli.es/medium-metal-free/276-2275-MIAMI.html#/27-talla-35/42-color-negro_black"/>
    <s v="https://forli.es/index.php?controller=attachment&amp;id_attachment=116"/>
  </r>
  <r>
    <s v="FOR.ALASKA"/>
    <x v="2"/>
    <s v="FOR.ALASKA-99-44"/>
    <s v="BOTA MF S3+CI+SRC+ESD Negro 44"/>
    <s v="BOTA MF S3+CI+SRC+ESD Negro 44. FABRICADO EN MICROFIBRA ACABADO NOBUK. PUNTERA DE Fibra de vidrio. PLANTILLA Antiperforación textil. SUELA DE PU/PU DOBLE DENSIDAD"/>
    <s v="Bota Mf S3+Ci+Src+Esd Negro 44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4"/>
    <n v="8457780310805"/>
    <s v="18457780310802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4"/>
    <s v="BOTA MF S3+CI+SRC+ESD Negro 44"/>
    <s v="BOTA MF S3+CI+SRC+ESD Negro 44. FABRICADO EN MICROFIBRA ACABADO PIEL FULL GRAIN . PUNTERA DE Fibra de vidrio. PLANTILLA Antiperforación textil. SUELA DE PU/PU DOBLE DENSIDAD"/>
    <s v="Bota Mf S3+Ci+Src+Esd Negro 44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4"/>
    <n v="8457780268809"/>
    <s v="18457780268806"/>
    <s v="https://forli.es/medium-metal-free/276-2275-MIAMI.html#/27-talla-35/42-color-negro_black"/>
    <s v="https://forli.es/index.php?controller=attachment&amp;id_attachment=116"/>
  </r>
  <r>
    <s v="FOR.ALASKA"/>
    <x v="2"/>
    <s v="FOR.ALASKA-99-45"/>
    <s v="BOTA MF S3+CI+SRC+ESD Negro 45"/>
    <s v="BOTA MF S3+CI+SRC+ESD Negro 45. FABRICADO EN MICROFIBRA ACABADO NOBUK. PUNTERA DE Fibra de vidrio. PLANTILLA Antiperforación textil. SUELA DE PU/PU DOBLE DENSIDAD"/>
    <s v="Bota Mf S3+Ci+Src+Esd Negro 45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5"/>
    <n v="8457780310812"/>
    <s v="18457780310819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5"/>
    <s v="BOTA MF S3+CI+SRC+ESD Negro 45"/>
    <s v="BOTA MF S3+CI+SRC+ESD Negro 45. FABRICADO EN MICROFIBRA ACABADO PIEL FULL GRAIN . PUNTERA DE Fibra de vidrio. PLANTILLA Antiperforación textil. SUELA DE PU/PU DOBLE DENSIDAD"/>
    <s v="Bota Mf S3+Ci+Src+Esd Negro 45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5"/>
    <n v="8457780268816"/>
    <s v="18457780268813"/>
    <s v="https://forli.es/medium-metal-free/276-2275-MIAMI.html#/27-talla-35/42-color-negro_black"/>
    <s v="https://forli.es/index.php?controller=attachment&amp;id_attachment=116"/>
  </r>
  <r>
    <s v="FOR.ALASKA"/>
    <x v="2"/>
    <s v="FOR.ALASKA-99-46"/>
    <s v="BOTA MF S3+CI+SRC+ESD Negro 46"/>
    <s v="BOTA MF S3+CI+SRC+ESD Negro 46. FABRICADO EN MICROFIBRA ACABADO NOBUK. PUNTERA DE Fibra de vidrio. PLANTILLA Antiperforación textil. SUELA DE PU/PU DOBLE DENSIDAD"/>
    <s v="Bota Mf S3+Ci+Src+Esd Negro 46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6"/>
    <n v="8457780310829"/>
    <s v="18457780310826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6"/>
    <s v="BOTA MF S3+CI+SRC+ESD Negro 46"/>
    <s v="BOTA MF S3+CI+SRC+ESD Negro 46. FABRICADO EN MICROFIBRA ACABADO PIEL FULL GRAIN . PUNTERA DE Fibra de vidrio. PLANTILLA Antiperforación textil. SUELA DE PU/PU DOBLE DENSIDAD"/>
    <s v="Bota Mf S3+Ci+Src+Esd Negro 46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6"/>
    <n v="8457780268823"/>
    <s v="18457780268820"/>
    <s v="https://forli.es/medium-metal-free/276-2275-MIAMI.html#/27-talla-35/42-color-negro_black"/>
    <s v="https://forli.es/index.php?controller=attachment&amp;id_attachment=116"/>
  </r>
  <r>
    <s v="FOR.ALASKA"/>
    <x v="2"/>
    <s v="FOR.ALASKA-99-47"/>
    <s v="BOTA MF S3+CI+SRC+ESD Negro 47"/>
    <s v="BOTA MF S3+CI+SRC+ESD Negro 47. FABRICADO EN MICROFIBRA ACABADO NOBUK. PUNTERA DE Fibra de vidrio. PLANTILLA Antiperforación textil. SUELA DE PU/PU DOBLE DENSIDAD"/>
    <s v="Bota Mf S3+Ci+Src+Esd Negro 47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7"/>
    <n v="8457780310836"/>
    <s v="18457780310833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7"/>
    <s v="BOTA MF S3+CI+SRC+ESD Negro 47"/>
    <s v="BOTA MF S3+CI+SRC+ESD Negro 47. FABRICADO EN MICROFIBRA ACABADO PIEL FULL GRAIN . PUNTERA DE Fibra de vidrio. PLANTILLA Antiperforación textil. SUELA DE PU/PU DOBLE DENSIDAD"/>
    <s v="Bota Mf S3+Ci+Src+Esd Negro 47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7"/>
    <n v="8457780268830"/>
    <s v="18457780268837"/>
    <s v="https://forli.es/medium-metal-free/276-2275-MIAMI.html#/27-talla-35/42-color-negro_black"/>
    <s v="https://forli.es/index.php?controller=attachment&amp;id_attachment=116"/>
  </r>
  <r>
    <s v="FOR.ALASKA"/>
    <x v="2"/>
    <s v="FOR.ALASKA-99-48"/>
    <s v="BOTA MF S3+CI+SRC+ESD Negro 48"/>
    <s v="BOTA MF S3+CI+SRC+ESD Negro 48. FABRICADO EN MICROFIBRA ACABADO NOBUK. PUNTERA DE Fibra de vidrio. PLANTILLA Antiperforación textil. SUELA DE PU/PU DOBLE DENSIDAD"/>
    <s v="Bota Mf S3+Ci+Src+Esd Negro 48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8"/>
    <n v="8457780310843"/>
    <s v="18457780310840"/>
    <s v="https://forli.es/calzado-de-seguridad-ocupacional/265-2131-ALASKA.html#/27-talla-35/42-color-negro_black"/>
    <s v="https://forli.es/index.php?controller=attachment&amp;id_attachment=77"/>
  </r>
  <r>
    <s v="FOR.MIAMI"/>
    <x v="3"/>
    <s v="FOR.MIAMI-99-48"/>
    <s v="BOTA MF S3+CI+SRC+ESD Negro 48"/>
    <s v="BOTA MF S3+CI+SRC+ESD Negro 48. FABRICADO EN MICROFIBRA ACABADO PIEL FULL GRAIN . PUNTERA DE Fibra de vidrio. PLANTILLA Antiperforación textil. SUELA DE PU/PU DOBLE DENSIDAD"/>
    <s v="Bota Mf S3+Ci+Src+Esd Negro 48. Fabricado En Microfibra Acabado Piel Full Grain . Puntera De Fibra De Vidrio. Plantilla Antiperforación Textil. Suela De Pu/Pu Doble Densidad"/>
    <n v="22.5"/>
    <x v="0"/>
    <x v="0"/>
    <s v="NEGRO"/>
    <s v="MICROFIBRA ACABADO PIEL FULL GRAIN "/>
    <s v="Fibra de vidrio"/>
    <s v="Antiperforación textil"/>
    <s v="PU/PU DOBLE DENSIDAD"/>
    <n v="48"/>
    <n v="8457780304033"/>
    <s v="18457780304030"/>
    <s v="https://forli.es/medium-metal-free/276-2275-MIAMI.html#/27-talla-35/42-color-negro_black"/>
    <s v="https://forli.es/index.php?controller=attachment&amp;id_attachment=116"/>
  </r>
  <r>
    <s v="FOR.ALASKA"/>
    <x v="2"/>
    <s v="FOR.ALASKA-99-49"/>
    <s v="BOTA MF S3+CI+SRC+ESD Negro 49"/>
    <s v="BOTA MF S3+CI+SRC+ESD Negro 49. FABRICADO EN MICROFIBRA ACABADO NOBUK. PUNTERA DE Fibra de vidrio. PLANTILLA Antiperforación textil. SUELA DE PU/PU DOBLE DENSIDAD"/>
    <s v="Bota Mf S3+Ci+Src+Esd Negro 49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49"/>
    <n v="8457780347177"/>
    <n v="18457780347174"/>
    <s v="https://forli.es/calzado-de-seguridad-ocupacional/265-2131-ALASKA.html#/27-talla-35/42-color-negro_black"/>
    <s v="https://forli.es/index.php?controller=attachment&amp;id_attachment=78"/>
  </r>
  <r>
    <s v="FOR.ALASKA"/>
    <x v="2"/>
    <s v="FOR.ALASKA-99-50"/>
    <s v="BOTA MF S3+CI+SRC+ESD Negro 50"/>
    <s v="BOTA MF S3+CI+SRC+ESD Negro 50. FABRICADO EN MICROFIBRA ACABADO NOBUK. PUNTERA DE Fibra de vidrio. PLANTILLA Antiperforación textil. SUELA DE PU/PU DOBLE DENSIDAD"/>
    <s v="Bota Mf S3+Ci+Src+Esd Negro 50. Fabricado En Microfibra Acabado Nobuk. Puntera De Fibra De Vidrio. Plantilla Antiperforación Textil. Suela De Pu/Pu Doble Densidad"/>
    <n v="26"/>
    <x v="0"/>
    <x v="0"/>
    <s v="NEGRO"/>
    <s v="MICROFIBRA ACABADO NOBUK"/>
    <s v="Fibra de vidrio"/>
    <s v="Antiperforación textil"/>
    <s v="PU/PU DOBLE DENSIDAD"/>
    <n v="50"/>
    <n v="8457780347184"/>
    <n v="18457780347181"/>
    <s v="https://forli.es/calzado-de-seguridad-ocupacional/265-2131-ALASKA.html#/27-talla-35/42-color-negro_black"/>
    <s v="https://forli.es/index.php?controller=attachment&amp;id_attachment=79"/>
  </r>
  <r>
    <s v="FOR.COLUMBIA"/>
    <x v="4"/>
    <s v="FOR.COLUMBIA-99-35"/>
    <s v="BOTA PIEL O6+CI+HI+HRO+FO+SR Marrón 35"/>
    <s v="BOTA PIEL O6+CI+HI+HRO+FO+SR Marrón 35. FABRICADO EN PIEL NUBUCK . PUNTERA DE No lleva. PLANTILLA No lleva. SUELA DE EVA/CAUCHO-NITRILO"/>
    <s v="Bota Piel O6+Ci+Hi+Hro+Fo+Sr Marrón 35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35"/>
    <n v="8457780312823"/>
    <s v="18457780312820"/>
    <s v="https://forli.es/trekking/346-3143-COLUMBIA.html#/27-talla-35/42-color-negro_black"/>
    <s v="https://forli.es/index.php?controller=attachment&amp;id_attachment=160"/>
  </r>
  <r>
    <s v="FOR.COLUMBIA"/>
    <x v="4"/>
    <s v="FOR.COLUMBIA-99-36"/>
    <s v="BOTA PIEL O6+CI+HI+HRO+FO+SR Marrón 36"/>
    <s v="BOTA PIEL O6+CI+HI+HRO+FO+SR Marrón 36. FABRICADO EN PIEL NUBUCK . PUNTERA DE No lleva. PLANTILLA No lleva. SUELA DE EVA/CAUCHO-NITRILO"/>
    <s v="Bota Piel O6+Ci+Hi+Hro+Fo+Sr Marrón 36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36"/>
    <n v="8457780312830"/>
    <s v="18457780312837"/>
    <s v="https://forli.es/trekking/346-3143-COLUMBIA.html#/27-talla-35/42-color-negro_black"/>
    <s v="https://forli.es/index.php?controller=attachment&amp;id_attachment=160"/>
  </r>
  <r>
    <s v="FOR.COLUMBIA"/>
    <x v="4"/>
    <s v="FOR.COLUMBIA-99-37"/>
    <s v="BOTA PIEL O6+CI+HI+HRO+FO+SR Marrón 37"/>
    <s v="BOTA PIEL O6+CI+HI+HRO+FO+SR Marrón 37. FABRICADO EN PIEL NUBUCK . PUNTERA DE No lleva. PLANTILLA No lleva. SUELA DE EVA/CAUCHO-NITRILO"/>
    <s v="Bota Piel O6+Ci+Hi+Hro+Fo+Sr Marrón 37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37"/>
    <n v="8457780312847"/>
    <s v="18457780312844"/>
    <s v="https://forli.es/trekking/346-3143-COLUMBIA.html#/27-talla-35/42-color-negro_black"/>
    <s v="https://forli.es/index.php?controller=attachment&amp;id_attachment=160"/>
  </r>
  <r>
    <s v="FOR.COLUMBIA"/>
    <x v="4"/>
    <s v="FOR.COLUMBIA-99-38"/>
    <s v="BOTA PIEL O6+CI+HI+HRO+FO+SR Marrón 38"/>
    <s v="BOTA PIEL O6+CI+HI+HRO+FO+SR Marrón 38. FABRICADO EN PIEL NUBUCK . PUNTERA DE No lleva. PLANTILLA No lleva. SUELA DE EVA/CAUCHO-NITRILO"/>
    <s v="Bota Piel O6+Ci+Hi+Hro+Fo+Sr Marrón 38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38"/>
    <n v="8457780312854"/>
    <s v="18457780312851"/>
    <s v="https://forli.es/trekking/346-3143-COLUMBIA.html#/27-talla-35/42-color-negro_black"/>
    <s v="https://forli.es/index.php?controller=attachment&amp;id_attachment=160"/>
  </r>
  <r>
    <s v="FOR.COLUMBIA"/>
    <x v="4"/>
    <s v="FOR.COLUMBIA-99-39"/>
    <s v="BOTA PIEL O6+CI+HI+HRO+FO+SR Marrón 39"/>
    <s v="BOTA PIEL O6+CI+HI+HRO+FO+SR Marrón 39. FABRICADO EN PIEL NUBUCK . PUNTERA DE No lleva. PLANTILLA No lleva. SUELA DE EVA/CAUCHO-NITRILO"/>
    <s v="Bota Piel O6+Ci+Hi+Hro+Fo+Sr Marrón 39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39"/>
    <n v="8457780312861"/>
    <s v="18457780312868"/>
    <s v="https://forli.es/trekking/346-3143-COLUMBIA.html#/27-talla-35/42-color-negro_black"/>
    <s v="https://forli.es/index.php?controller=attachment&amp;id_attachment=160"/>
  </r>
  <r>
    <s v="FOR.COLUMBIA"/>
    <x v="4"/>
    <s v="FOR.COLUMBIA-99-40"/>
    <s v="BOTA PIEL O6+CI+HI+HRO+FO+SR Marrón 40"/>
    <s v="BOTA PIEL O6+CI+HI+HRO+FO+SR Marrón 40. FABRICADO EN PIEL NUBUCK . PUNTERA DE No lleva. PLANTILLA No lleva. SUELA DE EVA/CAUCHO-NITRILO"/>
    <s v="Bota Piel O6+Ci+Hi+Hro+Fo+Sr Marrón 40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0"/>
    <n v="8457780312878"/>
    <s v="18457780312875"/>
    <s v="https://forli.es/trekking/346-3143-COLUMBIA.html#/27-talla-35/42-color-negro_black"/>
    <s v="https://forli.es/index.php?controller=attachment&amp;id_attachment=160"/>
  </r>
  <r>
    <s v="FOR.COLUMBIA"/>
    <x v="4"/>
    <s v="FOR.COLUMBIA-99-41"/>
    <s v="BOTA PIEL O6+CI+HI+HRO+FO+SR Marrón 41"/>
    <s v="BOTA PIEL O6+CI+HI+HRO+FO+SR Marrón 41. FABRICADO EN PIEL NUBUCK . PUNTERA DE No lleva. PLANTILLA No lleva. SUELA DE EVA/CAUCHO-NITRILO"/>
    <s v="Bota Piel O6+Ci+Hi+Hro+Fo+Sr Marrón 41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1"/>
    <n v="8457780312885"/>
    <s v="18457780312882"/>
    <s v="https://forli.es/trekking/346-3143-COLUMBIA.html#/27-talla-35/42-color-negro_black"/>
    <s v="https://forli.es/index.php?controller=attachment&amp;id_attachment=160"/>
  </r>
  <r>
    <s v="FOR.COLUMBIA"/>
    <x v="4"/>
    <s v="FOR.COLUMBIA-99-42"/>
    <s v="BOTA PIEL O6+CI+HI+HRO+FO+SR Marrón 42"/>
    <s v="BOTA PIEL O6+CI+HI+HRO+FO+SR Marrón 42. FABRICADO EN PIEL NUBUCK . PUNTERA DE No lleva. PLANTILLA No lleva. SUELA DE EVA/CAUCHO-NITRILO"/>
    <s v="Bota Piel O6+Ci+Hi+Hro+Fo+Sr Marrón 42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2"/>
    <n v="8457780312892"/>
    <s v="18457780312899"/>
    <s v="https://forli.es/trekking/346-3143-COLUMBIA.html#/27-talla-35/42-color-negro_black"/>
    <s v="https://forli.es/index.php?controller=attachment&amp;id_attachment=160"/>
  </r>
  <r>
    <s v="FOR.COLUMBIA"/>
    <x v="4"/>
    <s v="FOR.COLUMBIA-99-43"/>
    <s v="BOTA PIEL O6+CI+HI+HRO+FO+SR Marrón 43"/>
    <s v="BOTA PIEL O6+CI+HI+HRO+FO+SR Marrón 43. FABRICADO EN PIEL NUBUCK . PUNTERA DE No lleva. PLANTILLA No lleva. SUELA DE EVA/CAUCHO-NITRILO"/>
    <s v="Bota Piel O6+Ci+Hi+Hro+Fo+Sr Marrón 43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3"/>
    <n v="8457780312908"/>
    <s v="18457780312905"/>
    <s v="https://forli.es/trekking/346-3143-COLUMBIA.html#/27-talla-35/42-color-negro_black"/>
    <s v="https://forli.es/index.php?controller=attachment&amp;id_attachment=160"/>
  </r>
  <r>
    <s v="FOR.COLUMBIA"/>
    <x v="4"/>
    <s v="FOR.COLUMBIA-99-44"/>
    <s v="BOTA PIEL O6+CI+HI+HRO+FO+SR Marrón 44"/>
    <s v="BOTA PIEL O6+CI+HI+HRO+FO+SR Marrón 44. FABRICADO EN PIEL NUBUCK . PUNTERA DE No lleva. PLANTILLA No lleva. SUELA DE EVA/CAUCHO-NITRILO"/>
    <s v="Bota Piel O6+Ci+Hi+Hro+Fo+Sr Marrón 44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4"/>
    <n v="8457780312915"/>
    <s v="18457780312912"/>
    <s v="https://forli.es/trekking/346-3143-COLUMBIA.html#/27-talla-35/42-color-negro_black"/>
    <s v="https://forli.es/index.php?controller=attachment&amp;id_attachment=160"/>
  </r>
  <r>
    <s v="FOR.COLUMBIA"/>
    <x v="4"/>
    <s v="FOR.COLUMBIA-99-45"/>
    <s v="BOTA PIEL O6+CI+HI+HRO+FO+SR Marrón 45"/>
    <s v="BOTA PIEL O6+CI+HI+HRO+FO+SR Marrón 45. FABRICADO EN PIEL NUBUCK . PUNTERA DE No lleva. PLANTILLA No lleva. SUELA DE EVA/CAUCHO-NITRILO"/>
    <s v="Bota Piel O6+Ci+Hi+Hro+Fo+Sr Marrón 45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5"/>
    <n v="8457780312922"/>
    <s v="18457780312929"/>
    <s v="https://forli.es/trekking/346-3143-COLUMBIA.html#/27-talla-35/42-color-negro_black"/>
    <s v="https://forli.es/index.php?controller=attachment&amp;id_attachment=160"/>
  </r>
  <r>
    <s v="FOR.COLUMBIA"/>
    <x v="4"/>
    <s v="FOR.COLUMBIA-99-46"/>
    <s v="BOTA PIEL O6+CI+HI+HRO+FO+SR Marrón 46"/>
    <s v="BOTA PIEL O6+CI+HI+HRO+FO+SR Marrón 46. FABRICADO EN PIEL NUBUCK . PUNTERA DE No lleva. PLANTILLA No lleva. SUELA DE EVA/CAUCHO-NITRILO"/>
    <s v="Bota Piel O6+Ci+Hi+Hro+Fo+Sr Marrón 46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6"/>
    <n v="8457780312939"/>
    <s v="18457780312936"/>
    <s v="https://forli.es/trekking/346-3143-COLUMBIA.html#/27-talla-35/42-color-negro_black"/>
    <s v="https://forli.es/index.php?controller=attachment&amp;id_attachment=160"/>
  </r>
  <r>
    <s v="FOR.COLUMBIA"/>
    <x v="4"/>
    <s v="FOR.COLUMBIA-99-47"/>
    <s v="BOTA PIEL O6+CI+HI+HRO+FO+SR Marrón 47"/>
    <s v="BOTA PIEL O6+CI+HI+HRO+FO+SR Marrón 47. FABRICADO EN PIEL NUBUCK . PUNTERA DE No lleva. PLANTILLA No lleva. SUELA DE EVA/CAUCHO-NITRILO"/>
    <s v="Bota Piel O6+Ci+Hi+Hro+Fo+Sr Marrón 47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7"/>
    <n v="8457780312946"/>
    <s v="18457780312943"/>
    <s v="https://forli.es/trekking/346-3143-COLUMBIA.html#/27-talla-35/42-color-negro_black"/>
    <s v="https://forli.es/index.php?controller=attachment&amp;id_attachment=160"/>
  </r>
  <r>
    <s v="FOR.COLUMBIA"/>
    <x v="4"/>
    <s v="FOR.COLUMBIA-99-48"/>
    <s v="BOTA PIEL O6+CI+HI+HRO+FO+SR Marrón 48"/>
    <s v="BOTA PIEL O6+CI+HI+HRO+FO+SR Marrón 48. FABRICADO EN PIEL NUBUCK . PUNTERA DE No lleva. PLANTILLA No lleva. SUELA DE EVA/CAUCHO-NITRILO"/>
    <s v="Bota Piel O6+Ci+Hi+Hro+Fo+Sr Marrón 48. Fabricado En Piel Nubuck . Puntera De No Lleva. Plantilla No Lleva. Suela De Eva/Caucho-Nitrilo"/>
    <n v="39.200000000000003"/>
    <x v="0"/>
    <x v="0"/>
    <s v="MARRON"/>
    <s v="PIEL NUBUCK "/>
    <s v="No lleva"/>
    <s v="No lleva"/>
    <s v="EVA/CAUCHO-NITRILO"/>
    <n v="48"/>
    <n v="8457780312953"/>
    <s v="18457780312950"/>
    <s v="https://forli.es/trekking/346-3143-COLUMBIA.html#/27-talla-35/42-color-negro_black"/>
    <s v="https://forli.es/index.php?controller=attachment&amp;id_attachment=160"/>
  </r>
  <r>
    <s v="FOR.CHICAGO"/>
    <x v="5"/>
    <s v="FOR.CHICAGO-99-35"/>
    <s v="BOTA PIEL S3+SRC METALICA Negro 35"/>
    <s v="BOTA PIEL S3+SRC METALICA Negro 35. FABRICADO EN PIEL GRABADA. PUNTERA DE Acero. PLANTILLA Acero. SUELA DE PU/PU DOBLE DENSIDAD"/>
    <s v="Bota Piel S3+Src Metalica Negro 35. Fabricado En Piel Grabada. Puntera De Acero. Plantilla Acero. Suela De Pu/Pu Doble Densidad"/>
    <n v="9.9"/>
    <x v="0"/>
    <x v="0"/>
    <s v="NEGRO"/>
    <s v="PIEL GRABADA"/>
    <s v="Acero"/>
    <s v="Acero"/>
    <s v="PU/PU DOBLE DENSIDAD"/>
    <n v="35"/>
    <n v="8457780303920"/>
    <s v="18457780303927"/>
    <s v="https://forli.es/basic-steel/269-2187-CHICAGO.html#/27-talla-35/42-color-negro_black"/>
    <s v="https://forli.es/index.php?controller=attachment&amp;id_attachment=127"/>
  </r>
  <r>
    <s v="FOR.CHICAGO"/>
    <x v="5"/>
    <s v="FOR.CHICAGO-99-36"/>
    <s v="BOTA PIEL S3+SRC METALICA Negro 36"/>
    <s v="BOTA PIEL S3+SRC METALICA Negro 36. FABRICADO EN PIEL GRABADA. PUNTERA DE Acero. PLANTILLA Acero. SUELA DE PU/PU DOBLE DENSIDAD"/>
    <s v="Bota Piel S3+Src Metalica Negro 36. Fabricado En Piel Grabada. Puntera De Acero. Plantilla Acero. Suela De Pu/Pu Doble Densidad"/>
    <n v="9.9"/>
    <x v="0"/>
    <x v="0"/>
    <s v="NEGRO"/>
    <s v="PIEL GRABADA"/>
    <s v="Acero"/>
    <s v="Acero"/>
    <s v="PU/PU DOBLE DENSIDAD"/>
    <n v="36"/>
    <n v="8457780267888"/>
    <s v="18457780267885"/>
    <s v="https://forli.es/basic-steel/269-2187-CHICAGO.html#/27-talla-35/42-color-negro_black"/>
    <s v="https://forli.es/index.php?controller=attachment&amp;id_attachment=127"/>
  </r>
  <r>
    <s v="FOR.CHICAGO"/>
    <x v="5"/>
    <s v="FOR.CHICAGO-99-37"/>
    <s v="BOTA PIEL S3+SRC METALICA Negro 37"/>
    <s v="BOTA PIEL S3+SRC METALICA Negro 37. FABRICADO EN PIEL GRABADA. PUNTERA DE Acero. PLANTILLA Acero. SUELA DE PU/PU DOBLE DENSIDAD"/>
    <s v="Bota Piel S3+Src Metalica Negro 37. Fabricado En Piel Grabada. Puntera De Acero. Plantilla Acero. Suela De Pu/Pu Doble Densidad"/>
    <n v="9.9"/>
    <x v="0"/>
    <x v="0"/>
    <s v="NEGRO"/>
    <s v="PIEL GRABADA"/>
    <s v="Acero"/>
    <s v="Acero"/>
    <s v="PU/PU DOBLE DENSIDAD"/>
    <n v="37"/>
    <n v="8457780267895"/>
    <s v="18457780267892"/>
    <s v="https://forli.es/basic-steel/269-2187-CHICAGO.html#/27-talla-35/42-color-negro_black"/>
    <s v="https://forli.es/index.php?controller=attachment&amp;id_attachment=127"/>
  </r>
  <r>
    <s v="FOR.CHICAGO"/>
    <x v="5"/>
    <s v="FOR.CHICAGO-99-38"/>
    <s v="BOTA PIEL S3+SRC METALICA Negro 38"/>
    <s v="BOTA PIEL S3+SRC METALICA Negro 38. FABRICADO EN PIEL GRABADA. PUNTERA DE Acero. PLANTILLA Acero. SUELA DE PU/PU DOBLE DENSIDAD"/>
    <s v="Bota Piel S3+Src Metalica Negro 38. Fabricado En Piel Grabada. Puntera De Acero. Plantilla Acero. Suela De Pu/Pu Doble Densidad"/>
    <n v="9.9"/>
    <x v="0"/>
    <x v="0"/>
    <s v="NEGRO"/>
    <s v="PIEL GRABADA"/>
    <s v="Acero"/>
    <s v="Acero"/>
    <s v="PU/PU DOBLE DENSIDAD"/>
    <n v="38"/>
    <n v="8457780267901"/>
    <s v="18457780267908"/>
    <s v="https://forli.es/basic-steel/269-2187-CHICAGO.html#/27-talla-35/42-color-negro_black"/>
    <s v="https://forli.es/index.php?controller=attachment&amp;id_attachment=127"/>
  </r>
  <r>
    <s v="FOR.CHICAGO"/>
    <x v="5"/>
    <s v="FOR.CHICAGO-99-39"/>
    <s v="BOTA PIEL S3+SRC METALICA Negro 39"/>
    <s v="BOTA PIEL S3+SRC METALICA Negro 39. FABRICADO EN PIEL GRABADA. PUNTERA DE Acero. PLANTILLA Acero. SUELA DE PU/PU DOBLE DENSIDAD"/>
    <s v="Bota Piel S3+Src Metalica Negro 39. Fabricado En Piel Grabada. Puntera De Acero. Plantilla Acero. Suela De Pu/Pu Doble Densidad"/>
    <n v="9.9"/>
    <x v="0"/>
    <x v="0"/>
    <s v="NEGRO"/>
    <s v="PIEL GRABADA"/>
    <s v="Acero"/>
    <s v="Acero"/>
    <s v="PU/PU DOBLE DENSIDAD"/>
    <n v="39"/>
    <n v="8457780267918"/>
    <s v="18457780267915"/>
    <s v="https://forli.es/basic-steel/269-2187-CHICAGO.html#/27-talla-35/42-color-negro_black"/>
    <s v="https://forli.es/index.php?controller=attachment&amp;id_attachment=127"/>
  </r>
  <r>
    <s v="FOR.CHICAGO"/>
    <x v="5"/>
    <s v="FOR.CHICAGO-99-40"/>
    <s v="BOTA PIEL S3+SRC METALICA Negro 40"/>
    <s v="BOTA PIEL S3+SRC METALICA Negro 40. FABRICADO EN PIEL GRABADA. PUNTERA DE Acero. PLANTILLA Acero. SUELA DE PU/PU DOBLE DENSIDAD"/>
    <s v="Bota Piel S3+Src Metalica Negro 40. Fabricado En Piel Grabada. Puntera De Acero. Plantilla Acero. Suela De Pu/Pu Doble Densidad"/>
    <n v="9.9"/>
    <x v="0"/>
    <x v="0"/>
    <s v="NEGRO"/>
    <s v="PIEL GRABADA"/>
    <s v="Acero"/>
    <s v="Acero"/>
    <s v="PU/PU DOBLE DENSIDAD"/>
    <n v="40"/>
    <n v="8457780267925"/>
    <s v="18457780267922"/>
    <s v="https://forli.es/basic-steel/269-2187-CHICAGO.html#/27-talla-35/42-color-negro_black"/>
    <s v="https://forli.es/index.php?controller=attachment&amp;id_attachment=127"/>
  </r>
  <r>
    <s v="FOR.CHICAGO"/>
    <x v="5"/>
    <s v="FOR.CHICAGO-99-41"/>
    <s v="BOTA PIEL S3+SRC METALICA Negro 41"/>
    <s v="BOTA PIEL S3+SRC METALICA Negro 41. FABRICADO EN PIEL GRABADA. PUNTERA DE Acero. PLANTILLA Acero. SUELA DE PU/PU DOBLE DENSIDAD"/>
    <s v="Bota Piel S3+Src Metalica Negro 41. Fabricado En Piel Grabada. Puntera De Acero. Plantilla Acero. Suela De Pu/Pu Doble Densidad"/>
    <n v="9.9"/>
    <x v="0"/>
    <x v="0"/>
    <s v="NEGRO"/>
    <s v="PIEL GRABADA"/>
    <s v="Acero"/>
    <s v="Acero"/>
    <s v="PU/PU DOBLE DENSIDAD"/>
    <n v="41"/>
    <n v="8457780267932"/>
    <s v="18457780267939"/>
    <s v="https://forli.es/basic-steel/269-2187-CHICAGO.html#/27-talla-35/42-color-negro_black"/>
    <s v="https://forli.es/index.php?controller=attachment&amp;id_attachment=127"/>
  </r>
  <r>
    <s v="FOR.CHICAGO"/>
    <x v="5"/>
    <s v="FOR.CHICAGO-99-42"/>
    <s v="BOTA PIEL S3+SRC METALICA Negro 42"/>
    <s v="BOTA PIEL S3+SRC METALICA Negro 42. FABRICADO EN PIEL GRABADA. PUNTERA DE Acero. PLANTILLA Acero. SUELA DE PU/PU DOBLE DENSIDAD"/>
    <s v="Bota Piel S3+Src Metalica Negro 42. Fabricado En Piel Grabada. Puntera De Acero. Plantilla Acero. Suela De Pu/Pu Doble Densidad"/>
    <n v="9.9"/>
    <x v="0"/>
    <x v="0"/>
    <s v="NEGRO"/>
    <s v="PIEL GRABADA"/>
    <s v="Acero"/>
    <s v="Acero"/>
    <s v="PU/PU DOBLE DENSIDAD"/>
    <n v="42"/>
    <n v="8457780267949"/>
    <s v="18457780267946"/>
    <s v="https://forli.es/basic-steel/269-2187-CHICAGO.html#/27-talla-35/42-color-negro_black"/>
    <s v="https://forli.es/index.php?controller=attachment&amp;id_attachment=127"/>
  </r>
  <r>
    <s v="FOR.CHICAGO"/>
    <x v="5"/>
    <s v="FOR.CHICAGO-99-43"/>
    <s v="BOTA PIEL S3+SRC METALICA Negro 43"/>
    <s v="BOTA PIEL S3+SRC METALICA Negro 43. FABRICADO EN PIEL GRABADA. PUNTERA DE Acero. PLANTILLA Acero. SUELA DE PU/PU DOBLE DENSIDAD"/>
    <s v="Bota Piel S3+Src Metalica Negro 43. Fabricado En Piel Grabada. Puntera De Acero. Plantilla Acero. Suela De Pu/Pu Doble Densidad"/>
    <n v="9.9"/>
    <x v="0"/>
    <x v="0"/>
    <s v="NEGRO"/>
    <s v="PIEL GRABADA"/>
    <s v="Acero"/>
    <s v="Acero"/>
    <s v="PU/PU DOBLE DENSIDAD"/>
    <n v="43"/>
    <n v="8457780267956"/>
    <s v="18457780267953"/>
    <s v="https://forli.es/basic-steel/269-2187-CHICAGO.html#/27-talla-35/42-color-negro_black"/>
    <s v="https://forli.es/index.php?controller=attachment&amp;id_attachment=127"/>
  </r>
  <r>
    <s v="FOR.CHICAGO"/>
    <x v="5"/>
    <s v="FOR.CHICAGO-99-44"/>
    <s v="BOTA PIEL S3+SRC METALICA Negro 44"/>
    <s v="BOTA PIEL S3+SRC METALICA Negro 44. FABRICADO EN PIEL GRABADA. PUNTERA DE Acero. PLANTILLA Acero. SUELA DE PU/PU DOBLE DENSIDAD"/>
    <s v="Bota Piel S3+Src Metalica Negro 44. Fabricado En Piel Grabada. Puntera De Acero. Plantilla Acero. Suela De Pu/Pu Doble Densidad"/>
    <n v="9.9"/>
    <x v="0"/>
    <x v="0"/>
    <s v="NEGRO"/>
    <s v="PIEL GRABADA"/>
    <s v="Acero"/>
    <s v="Acero"/>
    <s v="PU/PU DOBLE DENSIDAD"/>
    <n v="44"/>
    <n v="8457780267963"/>
    <s v="18457780267960"/>
    <s v="https://forli.es/basic-steel/269-2187-CHICAGO.html#/27-talla-35/42-color-negro_black"/>
    <s v="https://forli.es/index.php?controller=attachment&amp;id_attachment=127"/>
  </r>
  <r>
    <s v="FOR.CHICAGO"/>
    <x v="5"/>
    <s v="FOR.CHICAGO-99-45"/>
    <s v="BOTA PIEL S3+SRC METALICA Negro 45"/>
    <s v="BOTA PIEL S3+SRC METALICA Negro 45. FABRICADO EN PIEL GRABADA. PUNTERA DE Acero. PLANTILLA Acero. SUELA DE PU/PU DOBLE DENSIDAD"/>
    <s v="Bota Piel S3+Src Metalica Negro 45. Fabricado En Piel Grabada. Puntera De Acero. Plantilla Acero. Suela De Pu/Pu Doble Densidad"/>
    <n v="9.9"/>
    <x v="0"/>
    <x v="0"/>
    <s v="NEGRO"/>
    <s v="PIEL GRABADA"/>
    <s v="Acero"/>
    <s v="Acero"/>
    <s v="PU/PU DOBLE DENSIDAD"/>
    <n v="45"/>
    <n v="8457780267970"/>
    <s v="18457780267977"/>
    <s v="https://forli.es/basic-steel/269-2187-CHICAGO.html#/27-talla-35/42-color-negro_black"/>
    <s v="https://forli.es/index.php?controller=attachment&amp;id_attachment=127"/>
  </r>
  <r>
    <s v="FOR.CHICAGO"/>
    <x v="5"/>
    <s v="FOR.CHICAGO-99-46"/>
    <s v="BOTA PIEL S3+SRC METALICA Negro 46"/>
    <s v="BOTA PIEL S3+SRC METALICA Negro 46. FABRICADO EN PIEL GRABADA. PUNTERA DE Acero. PLANTILLA Acero. SUELA DE PU/PU DOBLE DENSIDAD"/>
    <s v="Bota Piel S3+Src Metalica Negro 46. Fabricado En Piel Grabada. Puntera De Acero. Plantilla Acero. Suela De Pu/Pu Doble Densidad"/>
    <n v="9.9"/>
    <x v="0"/>
    <x v="0"/>
    <s v="NEGRO"/>
    <s v="PIEL GRABADA"/>
    <s v="Acero"/>
    <s v="Acero"/>
    <s v="PU/PU DOBLE DENSIDAD"/>
    <n v="46"/>
    <n v="8457780267987"/>
    <s v="18457780267984"/>
    <s v="https://forli.es/basic-steel/269-2187-CHICAGO.html#/27-talla-35/42-color-negro_black"/>
    <s v="https://forli.es/index.php?controller=attachment&amp;id_attachment=127"/>
  </r>
  <r>
    <s v="FOR.CHICAGO"/>
    <x v="5"/>
    <s v="FOR.CHICAGO-99-47"/>
    <s v="BOTA PIEL S3+SRC METALICA Negro 47"/>
    <s v="BOTA PIEL S3+SRC METALICA Negro 47. FABRICADO EN PIEL GRABADA. PUNTERA DE Acero. PLANTILLA Acero. SUELA DE PU/PU DOBLE DENSIDAD"/>
    <s v="Bota Piel S3+Src Metalica Negro 47. Fabricado En Piel Grabada. Puntera De Acero. Plantilla Acero. Suela De Pu/Pu Doble Densidad"/>
    <n v="9.9"/>
    <x v="0"/>
    <x v="0"/>
    <s v="NEGRO"/>
    <s v="PIEL GRABADA"/>
    <s v="Acero"/>
    <s v="Acero"/>
    <s v="PU/PU DOBLE DENSIDAD"/>
    <n v="47"/>
    <n v="8457780267994"/>
    <s v="18457780267991"/>
    <s v="https://forli.es/basic-steel/269-2187-CHICAGO.html#/27-talla-35/42-color-negro_black"/>
    <s v="https://forli.es/index.php?controller=attachment&amp;id_attachment=127"/>
  </r>
  <r>
    <s v="FOR.CHICAGO"/>
    <x v="5"/>
    <s v="FOR.CHICAGO-99-48"/>
    <s v="BOTA PIEL S3+SRC METALICA Negro 48"/>
    <s v="BOTA PIEL S3+SRC METALICA Negro 48. FABRICADO EN PIEL GRABADA. PUNTERA DE Acero. PLANTILLA Acero. SUELA DE PU/PU DOBLE DENSIDAD"/>
    <s v="Bota Piel S3+Src Metalica Negro 48. Fabricado En Piel Grabada. Puntera De Acero. Plantilla Acero. Suela De Pu/Pu Doble Densidad"/>
    <n v="9.9"/>
    <x v="0"/>
    <x v="0"/>
    <s v="NEGRO"/>
    <s v="PIEL GRABADA"/>
    <s v="Acero"/>
    <s v="Acero"/>
    <s v="PU/PU DOBLE DENSIDAD"/>
    <n v="48"/>
    <n v="8457780303937"/>
    <s v="18457780303934"/>
    <s v="https://forli.es/basic-steel/269-2187-CHICAGO.html#/27-talla-35/42-color-negro_black"/>
    <s v="https://forli.es/index.php?controller=attachment&amp;id_attachment=127"/>
  </r>
  <r>
    <s v="FOR.MICHIGAN"/>
    <x v="6"/>
    <s v="FOR.MICHIGAN-99-35"/>
    <s v="BOTA PIEL S3S+CI+HI+FO+SR METAL FREE Negro 35"/>
    <s v="BOTA PIEL S3S+CI+HI+FO+SR METAL FREE Negro 35. FABRICADO EN PIEL GRABADA. PUNTERA DE Fibra de vidrio. PLANTILLA Antiperforación textil. SUELA DE PU/PU DOBLE DENSIDAD"/>
    <s v="Bota Piel S3S+Ci+Hi+Fo+Sr Metal Free Negro 35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35"/>
    <n v="8457780303944"/>
    <s v="18457780303941"/>
    <s v="https://forli.es/s3/281-2343-MICHIGAN.html#/27-talla-35/42-color-negro_black"/>
    <s v="https://forli.es/index.php?controller=attachment&amp;id_attachment=124"/>
  </r>
  <r>
    <s v="FOR.MICHIGAN"/>
    <x v="6"/>
    <s v="FOR.MICHIGAN-99-36"/>
    <s v="BOTA PIEL S3S+CI+HI+FO+SR METAL FREE Negro 36"/>
    <s v="BOTA PIEL S3S+CI+HI+FO+SR METAL FREE Negro 36. FABRICADO EN PIEL GRABADA. PUNTERA DE Fibra de vidrio. PLANTILLA Antiperforación textil. SUELA DE PU/PU DOBLE DENSIDAD"/>
    <s v="Bota Piel S3S+Ci+Hi+Fo+Sr Metal Free Negro 36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36"/>
    <n v="8457780268120"/>
    <s v="18457780268127"/>
    <s v="https://forli.es/s3/281-2343-MICHIGAN.html#/27-talla-35/42-color-negro_black"/>
    <s v="https://forli.es/index.php?controller=attachment&amp;id_attachment=124"/>
  </r>
  <r>
    <s v="FOR.MICHIGAN"/>
    <x v="6"/>
    <s v="FOR.MICHIGAN-99-37"/>
    <s v="BOTA PIEL S3S+CI+HI+FO+SR METAL FREE Negro 37"/>
    <s v="BOTA PIEL S3S+CI+HI+FO+SR METAL FREE Negro 37. FABRICADO EN PIEL GRABADA. PUNTERA DE Fibra de vidrio. PLANTILLA Antiperforación textil. SUELA DE PU/PU DOBLE DENSIDAD"/>
    <s v="Bota Piel S3S+Ci+Hi+Fo+Sr Metal Free Negro 37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37"/>
    <n v="8457780268137"/>
    <s v="18457780268134"/>
    <s v="https://forli.es/s3/281-2343-MICHIGAN.html#/27-talla-35/42-color-negro_black"/>
    <s v="https://forli.es/index.php?controller=attachment&amp;id_attachment=124"/>
  </r>
  <r>
    <s v="FOR.MICHIGAN"/>
    <x v="6"/>
    <s v="FOR.MICHIGAN-99-38"/>
    <s v="BOTA PIEL S3S+CI+HI+FO+SR METAL FREE Negro 38"/>
    <s v="BOTA PIEL S3S+CI+HI+FO+SR METAL FREE Negro 38. FABRICADO EN PIEL GRABADA. PUNTERA DE Fibra de vidrio. PLANTILLA Antiperforación textil. SUELA DE PU/PU DOBLE DENSIDAD"/>
    <s v="Bota Piel S3S+Ci+Hi+Fo+Sr Metal Free Negro 38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38"/>
    <n v="8457780268144"/>
    <s v="18457780268141"/>
    <s v="https://forli.es/s3/281-2343-MICHIGAN.html#/27-talla-35/42-color-negro_black"/>
    <s v="https://forli.es/index.php?controller=attachment&amp;id_attachment=124"/>
  </r>
  <r>
    <s v="FOR.MICHIGAN"/>
    <x v="6"/>
    <s v="FOR.MICHIGAN-99-39"/>
    <s v="BOTA PIEL S3S+CI+HI+FO+SR METAL FREE Negro 39"/>
    <s v="BOTA PIEL S3S+CI+HI+FO+SR METAL FREE Negro 39. FABRICADO EN PIEL GRABADA. PUNTERA DE Fibra de vidrio. PLANTILLA Antiperforación textil. SUELA DE PU/PU DOBLE DENSIDAD"/>
    <s v="Bota Piel S3S+Ci+Hi+Fo+Sr Metal Free Negro 39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39"/>
    <n v="8457780268151"/>
    <s v="18457780268158"/>
    <s v="https://forli.es/s3/281-2343-MICHIGAN.html#/27-talla-35/42-color-negro_black"/>
    <s v="https://forli.es/index.php?controller=attachment&amp;id_attachment=124"/>
  </r>
  <r>
    <s v="FOR.MICHIGAN"/>
    <x v="6"/>
    <s v="FOR.MICHIGAN-99-40"/>
    <s v="BOTA PIEL S3S+CI+HI+FO+SR METAL FREE Negro 40"/>
    <s v="BOTA PIEL S3S+CI+HI+FO+SR METAL FREE Negro 40. FABRICADO EN PIEL GRABADA. PUNTERA DE Fibra de vidrio. PLANTILLA Antiperforación textil. SUELA DE PU/PU DOBLE DENSIDAD"/>
    <s v="Bota Piel S3S+Ci+Hi+Fo+Sr Metal Free Negro 40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0"/>
    <n v="8457780268168"/>
    <s v="18457780268165"/>
    <s v="https://forli.es/s3/281-2343-MICHIGAN.html#/27-talla-35/42-color-negro_black"/>
    <s v="https://forli.es/index.php?controller=attachment&amp;id_attachment=124"/>
  </r>
  <r>
    <s v="FOR.MICHIGAN"/>
    <x v="6"/>
    <s v="FOR.MICHIGAN-99-41"/>
    <s v="BOTA PIEL S3S+CI+HI+FO+SR METAL FREE Negro 41"/>
    <s v="BOTA PIEL S3S+CI+HI+FO+SR METAL FREE Negro 41. FABRICADO EN PIEL GRABADA. PUNTERA DE Fibra de vidrio. PLANTILLA Antiperforación textil. SUELA DE PU/PU DOBLE DENSIDAD"/>
    <s v="Bota Piel S3S+Ci+Hi+Fo+Sr Metal Free Negro 41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1"/>
    <n v="8457780268175"/>
    <s v="18457780268172"/>
    <s v="https://forli.es/s3/281-2343-MICHIGAN.html#/27-talla-35/42-color-negro_black"/>
    <s v="https://forli.es/index.php?controller=attachment&amp;id_attachment=124"/>
  </r>
  <r>
    <s v="FOR.MICHIGAN"/>
    <x v="6"/>
    <s v="FOR.MICHIGAN-99-42"/>
    <s v="BOTA PIEL S3S+CI+HI+FO+SR METAL FREE Negro 42"/>
    <s v="BOTA PIEL S3S+CI+HI+FO+SR METAL FREE Negro 42. FABRICADO EN PIEL GRABADA. PUNTERA DE Fibra de vidrio. PLANTILLA Antiperforación textil. SUELA DE PU/PU DOBLE DENSIDAD"/>
    <s v="Bota Piel S3S+Ci+Hi+Fo+Sr Metal Free Negro 42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2"/>
    <n v="8457780268182"/>
    <s v="18457780268189"/>
    <s v="https://forli.es/s3/281-2343-MICHIGAN.html#/27-talla-35/42-color-negro_black"/>
    <s v="https://forli.es/index.php?controller=attachment&amp;id_attachment=124"/>
  </r>
  <r>
    <s v="FOR.MICHIGAN"/>
    <x v="6"/>
    <s v="FOR.MICHIGAN-99-43"/>
    <s v="BOTA PIEL S3S+CI+HI+FO+SR METAL FREE Negro 43"/>
    <s v="BOTA PIEL S3S+CI+HI+FO+SR METAL FREE Negro 43. FABRICADO EN PIEL GRABADA. PUNTERA DE Fibra de vidrio. PLANTILLA Antiperforación textil. SUELA DE PU/PU DOBLE DENSIDAD"/>
    <s v="Bota Piel S3S+Ci+Hi+Fo+Sr Metal Free Negro 43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3"/>
    <n v="8457780268199"/>
    <s v="18457780268196"/>
    <s v="https://forli.es/s3/281-2343-MICHIGAN.html#/27-talla-35/42-color-negro_black"/>
    <s v="https://forli.es/index.php?controller=attachment&amp;id_attachment=124"/>
  </r>
  <r>
    <s v="FOR.MICHIGAN"/>
    <x v="6"/>
    <s v="FOR.MICHIGAN-99-44"/>
    <s v="BOTA PIEL S3S+CI+HI+FO+SR METAL FREE Negro 44"/>
    <s v="BOTA PIEL S3S+CI+HI+FO+SR METAL FREE Negro 44. FABRICADO EN PIEL GRABADA. PUNTERA DE Fibra de vidrio. PLANTILLA Antiperforación textil. SUELA DE PU/PU DOBLE DENSIDAD"/>
    <s v="Bota Piel S3S+Ci+Hi+Fo+Sr Metal Free Negro 44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4"/>
    <n v="8457780268205"/>
    <s v="18457780268202"/>
    <s v="https://forli.es/s3/281-2343-MICHIGAN.html#/27-talla-35/42-color-negro_black"/>
    <s v="https://forli.es/index.php?controller=attachment&amp;id_attachment=124"/>
  </r>
  <r>
    <s v="FOR.MICHIGAN"/>
    <x v="6"/>
    <s v="FOR.MICHIGAN-99-45"/>
    <s v="BOTA PIEL S3S+CI+HI+FO+SR METAL FREE Negro 45"/>
    <s v="BOTA PIEL S3S+CI+HI+FO+SR METAL FREE Negro 45. FABRICADO EN PIEL GRABADA. PUNTERA DE Fibra de vidrio. PLANTILLA Antiperforación textil. SUELA DE PU/PU DOBLE DENSIDAD"/>
    <s v="Bota Piel S3S+Ci+Hi+Fo+Sr Metal Free Negro 45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5"/>
    <n v="8457780268212"/>
    <s v="18457780268219"/>
    <s v="https://forli.es/s3/281-2343-MICHIGAN.html#/27-talla-35/42-color-negro_black"/>
    <s v="https://forli.es/index.php?controller=attachment&amp;id_attachment=124"/>
  </r>
  <r>
    <s v="FOR.MICHIGAN"/>
    <x v="6"/>
    <s v="FOR.MICHIGAN-99-46"/>
    <s v="BOTA PIEL S3S+CI+HI+FO+SR METAL FREE Negro 46"/>
    <s v="BOTA PIEL S3S+CI+HI+FO+SR METAL FREE Negro 46. FABRICADO EN PIEL GRABADA. PUNTERA DE Fibra de vidrio. PLANTILLA Antiperforación textil. SUELA DE PU/PU DOBLE DENSIDAD"/>
    <s v="Bota Piel S3S+Ci+Hi+Fo+Sr Metal Free Negro 46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6"/>
    <n v="8457780268229"/>
    <s v="18457780268226"/>
    <s v="https://forli.es/s3/281-2343-MICHIGAN.html#/27-talla-35/42-color-negro_black"/>
    <s v="https://forli.es/index.php?controller=attachment&amp;id_attachment=124"/>
  </r>
  <r>
    <s v="FOR.MICHIGAN"/>
    <x v="6"/>
    <s v="FOR.MICHIGAN-99-47"/>
    <s v="BOTA PIEL S3S+CI+HI+FO+SR METAL FREE Negro 47"/>
    <s v="BOTA PIEL S3S+CI+HI+FO+SR METAL FREE Negro 47. FABRICADO EN PIEL GRABADA. PUNTERA DE Fibra de vidrio. PLANTILLA Antiperforación textil. SUELA DE PU/PU DOBLE DENSIDAD"/>
    <s v="Bota Piel S3S+Ci+Hi+Fo+Sr Metal Free Negro 47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7"/>
    <n v="8457780268236"/>
    <s v="18457780268233"/>
    <s v="https://forli.es/s3/281-2343-MICHIGAN.html#/27-talla-35/42-color-negro_black"/>
    <s v="https://forli.es/index.php?controller=attachment&amp;id_attachment=124"/>
  </r>
  <r>
    <s v="FOR.MICHIGAN"/>
    <x v="6"/>
    <s v="FOR.MICHIGAN-99-48"/>
    <s v="BOTA PIEL S3S+CI+HI+FO+SR METAL FREE Negro 48"/>
    <s v="BOTA PIEL S3S+CI+HI+FO+SR METAL FREE Negro 48. FABRICADO EN PIEL GRABADA. PUNTERA DE Fibra de vidrio. PLANTILLA Antiperforación textil. SUELA DE PU/PU DOBLE DENSIDAD"/>
    <s v="Bota Piel S3S+Ci+Hi+Fo+Sr Metal Free Negro 48. Fabricado En Piel Grabada. Puntera De Fibra De Vidrio. Plantilla Antiperforación Textil. Suela De Pu/Pu Doble Densidad"/>
    <n v="14.2"/>
    <x v="0"/>
    <x v="0"/>
    <s v="NEGRO"/>
    <s v="PIEL GRABADA"/>
    <s v="Fibra de vidrio"/>
    <s v="Antiperforación textil"/>
    <s v="PU/PU DOBLE DENSIDAD"/>
    <n v="48"/>
    <n v="8457780303951"/>
    <s v="18457780303958"/>
    <s v="https://forli.es/s3/281-2343-MICHIGAN.html#/27-talla-35/42-color-negro_black"/>
    <s v="https://forli.es/index.php?controller=attachment&amp;id_attachment=124"/>
  </r>
  <r>
    <s v="FOR.SAVANNAH"/>
    <x v="7"/>
    <s v="FOR.SAVANNAH-99-35"/>
    <s v="BOTA PIEL S7S+CI+HI+HRO+FO+SR+ESD Negro 35"/>
    <s v="BOTA PIEL S7S+CI+HI+HRO+FO+SR+ESD Negro 35. FABRICADO EN PIEL NOBUCK. PUNTERA DE Fibra de vidrio. PLANTILLA Antiperforación textil. SUELA DE EVA/CAUCHO-NITRILO"/>
    <s v="Bota Piel S7S+Ci+Hi+Hro+Fo+Sr+Esd Negro 35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35"/>
    <n v="8457780312960"/>
    <s v="18457780312967"/>
    <s v="https://forli.es/trekking/347-3157-SAVANAH.html#/27-talla-35/42-color-negro_black"/>
    <s v="https://forli.es/index.php?controller=attachment&amp;id_attachment=155"/>
  </r>
  <r>
    <s v="FOR.SAVANNAH"/>
    <x v="7"/>
    <s v="FOR.SAVANNAH-99-36"/>
    <s v="BOTA PIEL S7S+CI+HI+HRO+FO+SR+ESD Negro 36"/>
    <s v="BOTA PIEL S7S+CI+HI+HRO+FO+SR+ESD Negro 36. FABRICADO EN PIEL NOBUCK. PUNTERA DE Fibra de vidrio. PLANTILLA Antiperforación textil. SUELA DE EVA/CAUCHO-NITRILO"/>
    <s v="Bota Piel S7S+Ci+Hi+Hro+Fo+Sr+Esd Negro 36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36"/>
    <n v="8457780312977"/>
    <s v="18457780312974"/>
    <s v="https://forli.es/trekking/347-3157-SAVANAH.html#/27-talla-35/42-color-negro_black"/>
    <s v="https://forli.es/index.php?controller=attachment&amp;id_attachment=155"/>
  </r>
  <r>
    <s v="FOR.SAVANNAH"/>
    <x v="7"/>
    <s v="FOR.SAVANNAH-99-37"/>
    <s v="BOTA PIEL S7S+CI+HI+HRO+FO+SR+ESD Negro 37"/>
    <s v="BOTA PIEL S7S+CI+HI+HRO+FO+SR+ESD Negro 37. FABRICADO EN PIEL NOBUCK. PUNTERA DE Fibra de vidrio. PLANTILLA Antiperforación textil. SUELA DE EVA/CAUCHO-NITRILO"/>
    <s v="Bota Piel S7S+Ci+Hi+Hro+Fo+Sr+Esd Negro 37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37"/>
    <n v="8457780312984"/>
    <s v="18457780312981"/>
    <s v="https://forli.es/trekking/347-3157-SAVANAH.html#/27-talla-35/42-color-negro_black"/>
    <s v="https://forli.es/index.php?controller=attachment&amp;id_attachment=155"/>
  </r>
  <r>
    <s v="FOR.SAVANNAH"/>
    <x v="7"/>
    <s v="FOR.SAVANNAH-99-38"/>
    <s v="BOTA PIEL S7S+CI+HI+HRO+FO+SR+ESD Negro 38"/>
    <s v="BOTA PIEL S7S+CI+HI+HRO+FO+SR+ESD Negro 38. FABRICADO EN PIEL NOBUCK. PUNTERA DE Fibra de vidrio. PLANTILLA Antiperforación textil. SUELA DE EVA/CAUCHO-NITRILO"/>
    <s v="Bota Piel S7S+Ci+Hi+Hro+Fo+Sr+Esd Negro 38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38"/>
    <n v="8457780312991"/>
    <s v="18457780312998"/>
    <s v="https://forli.es/trekking/347-3157-SAVANAH.html#/27-talla-35/42-color-negro_black"/>
    <s v="https://forli.es/index.php?controller=attachment&amp;id_attachment=155"/>
  </r>
  <r>
    <s v="FOR.SAVANNAH"/>
    <x v="7"/>
    <s v="FOR.SAVANNAH-99-39"/>
    <s v="BOTA PIEL S7S+CI+HI+HRO+FO+SR+ESD Negro 39"/>
    <s v="BOTA PIEL S7S+CI+HI+HRO+FO+SR+ESD Negro 39. FABRICADO EN PIEL NOBUCK. PUNTERA DE Fibra de vidrio. PLANTILLA Antiperforación textil. SUELA DE EVA/CAUCHO-NITRILO"/>
    <s v="Bota Piel S7S+Ci+Hi+Hro+Fo+Sr+Esd Negro 39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39"/>
    <n v="8457780336119"/>
    <s v="18457780336116"/>
    <s v="https://forli.es/trekking/347-3157-SAVANAH.html#/27-talla-35/42-color-negro_black"/>
    <s v="https://forli.es/index.php?controller=attachment&amp;id_attachment=155"/>
  </r>
  <r>
    <s v="FOR.SAVANNAH"/>
    <x v="7"/>
    <s v="FOR.SAVANNAH-99-40"/>
    <s v="BOTA PIEL S7S+CI+HI+HRO+FO+SR+ESD Negro 40"/>
    <s v="BOTA PIEL S7S+CI+HI+HRO+FO+SR+ESD Negro 40. FABRICADO EN PIEL NOBUCK. PUNTERA DE Fibra de vidrio. PLANTILLA Antiperforación textil. SUELA DE EVA/CAUCHO-NITRILO"/>
    <s v="Bota Piel S7S+Ci+Hi+Hro+Fo+Sr+Esd Negro 40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0"/>
    <n v="8457780313011"/>
    <s v="18457780313018"/>
    <s v="https://forli.es/trekking/347-3157-SAVANAH.html#/27-talla-35/42-color-negro_black"/>
    <s v="https://forli.es/index.php?controller=attachment&amp;id_attachment=155"/>
  </r>
  <r>
    <s v="FOR.SAVANNAH"/>
    <x v="7"/>
    <s v="FOR.SAVANNAH-99-41"/>
    <s v="BOTA PIEL S7S+CI+HI+HRO+FO+SR+ESD Negro 41"/>
    <s v="BOTA PIEL S7S+CI+HI+HRO+FO+SR+ESD Negro 41. FABRICADO EN PIEL NOBUCK. PUNTERA DE Fibra de vidrio. PLANTILLA Antiperforación textil. SUELA DE EVA/CAUCHO-NITRILO"/>
    <s v="Bota Piel S7S+Ci+Hi+Hro+Fo+Sr+Esd Negro 41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1"/>
    <n v="8457780313028"/>
    <s v="18457780313025"/>
    <s v="https://forli.es/trekking/347-3157-SAVANAH.html#/27-talla-35/42-color-negro_black"/>
    <s v="https://forli.es/index.php?controller=attachment&amp;id_attachment=155"/>
  </r>
  <r>
    <s v="FOR.SAVANNAH"/>
    <x v="7"/>
    <s v="FOR.SAVANNAH-99-42"/>
    <s v="BOTA PIEL S7S+CI+HI+HRO+FO+SR+ESD Negro 42"/>
    <s v="BOTA PIEL S7S+CI+HI+HRO+FO+SR+ESD Negro 42. FABRICADO EN PIEL NOBUCK. PUNTERA DE Fibra de vidrio. PLANTILLA Antiperforación textil. SUELA DE EVA/CAUCHO-NITRILO"/>
    <s v="Bota Piel S7S+Ci+Hi+Hro+Fo+Sr+Esd Negro 42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2"/>
    <n v="8457780313035"/>
    <s v="18457780313032"/>
    <s v="https://forli.es/trekking/347-3157-SAVANAH.html#/27-talla-35/42-color-negro_black"/>
    <s v="https://forli.es/index.php?controller=attachment&amp;id_attachment=155"/>
  </r>
  <r>
    <s v="FOR.SAVANNAH"/>
    <x v="7"/>
    <s v="FOR.SAVANNAH-99-43"/>
    <s v="BOTA PIEL S7S+CI+HI+HRO+FO+SR+ESD Negro 43"/>
    <s v="BOTA PIEL S7S+CI+HI+HRO+FO+SR+ESD Negro 43. FABRICADO EN PIEL NOBUCK. PUNTERA DE Fibra de vidrio. PLANTILLA Antiperforación textil. SUELA DE EVA/CAUCHO-NITRILO"/>
    <s v="Bota Piel S7S+Ci+Hi+Hro+Fo+Sr+Esd Negro 43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3"/>
    <n v="8457780313042"/>
    <s v="18457780313049"/>
    <s v="https://forli.es/trekking/347-3157-SAVANAH.html#/27-talla-35/42-color-negro_black"/>
    <s v="https://forli.es/index.php?controller=attachment&amp;id_attachment=155"/>
  </r>
  <r>
    <s v="FOR.SAVANNAH"/>
    <x v="7"/>
    <s v="FOR.SAVANNAH-99-44"/>
    <s v="BOTA PIEL S7S+CI+HI+HRO+FO+SR+ESD Negro 44"/>
    <s v="BOTA PIEL S7S+CI+HI+HRO+FO+SR+ESD Negro 44. FABRICADO EN PIEL NOBUCK. PUNTERA DE Fibra de vidrio. PLANTILLA Antiperforación textil. SUELA DE EVA/CAUCHO-NITRILO"/>
    <s v="Bota Piel S7S+Ci+Hi+Hro+Fo+Sr+Esd Negro 44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4"/>
    <n v="8457780313059"/>
    <s v="18457780313056"/>
    <s v="https://forli.es/trekking/347-3157-SAVANAH.html#/27-talla-35/42-color-negro_black"/>
    <s v="https://forli.es/index.php?controller=attachment&amp;id_attachment=155"/>
  </r>
  <r>
    <s v="FOR.SAVANNAH"/>
    <x v="7"/>
    <s v="FOR.SAVANNAH-99-45"/>
    <s v="BOTA PIEL S7S+CI+HI+HRO+FO+SR+ESD Negro 45"/>
    <s v="BOTA PIEL S7S+CI+HI+HRO+FO+SR+ESD Negro 45. FABRICADO EN PIEL NOBUCK. PUNTERA DE Fibra de vidrio. PLANTILLA Antiperforación textil. SUELA DE EVA/CAUCHO-NITRILO"/>
    <s v="Bota Piel S7S+Ci+Hi+Hro+Fo+Sr+Esd Negro 45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5"/>
    <n v="8457780313066"/>
    <s v="18457780313063"/>
    <s v="https://forli.es/trekking/347-3157-SAVANAH.html#/27-talla-35/42-color-negro_black"/>
    <s v="https://forli.es/index.php?controller=attachment&amp;id_attachment=155"/>
  </r>
  <r>
    <s v="FOR.SAVANNAH"/>
    <x v="7"/>
    <s v="FOR.SAVANNAH-99-46"/>
    <s v="BOTA PIEL S7S+CI+HI+HRO+FO+SR+ESD Negro 46"/>
    <s v="BOTA PIEL S7S+CI+HI+HRO+FO+SR+ESD Negro 46. FABRICADO EN PIEL NOBUCK. PUNTERA DE Fibra de vidrio. PLANTILLA Antiperforación textil. SUELA DE EVA/CAUCHO-NITRILO"/>
    <s v="Bota Piel S7S+Ci+Hi+Hro+Fo+Sr+Esd Negro 46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6"/>
    <n v="8457780313073"/>
    <s v="18457780313070"/>
    <s v="https://forli.es/trekking/347-3157-SAVANAH.html#/27-talla-35/42-color-negro_black"/>
    <s v="https://forli.es/index.php?controller=attachment&amp;id_attachment=155"/>
  </r>
  <r>
    <s v="FOR.SAVANNAH"/>
    <x v="7"/>
    <s v="FOR.SAVANNAH-99-47"/>
    <s v="BOTA PIEL S7S+CI+HI+HRO+FO+SR+ESD Negro 47"/>
    <s v="BOTA PIEL S7S+CI+HI+HRO+FO+SR+ESD Negro 47. FABRICADO EN PIEL NOBUCK. PUNTERA DE Fibra de vidrio. PLANTILLA Antiperforación textil. SUELA DE EVA/CAUCHO-NITRILO"/>
    <s v="Bota Piel S7S+Ci+Hi+Hro+Fo+Sr+Esd Negro 47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7"/>
    <n v="8457780313080"/>
    <s v="18457780313087"/>
    <s v="https://forli.es/trekking/347-3157-SAVANAH.html#/27-talla-35/42-color-negro_black"/>
    <s v="https://forli.es/index.php?controller=attachment&amp;id_attachment=155"/>
  </r>
  <r>
    <s v="FOR.SAVANNAH"/>
    <x v="7"/>
    <s v="FOR.SAVANNAH-99-48"/>
    <s v="BOTA PIEL S7S+CI+HI+HRO+FO+SR+ESD Negro 48"/>
    <s v="BOTA PIEL S7S+CI+HI+HRO+FO+SR+ESD Negro 48. FABRICADO EN PIEL NOBUCK. PUNTERA DE Fibra de vidrio. PLANTILLA Antiperforación textil. SUELA DE EVA/CAUCHO-NITRILO"/>
    <s v="Bota Piel S7S+Ci+Hi+Hro+Fo+Sr+Esd Negro 48. Fabricado En Piel Nobuck. Puntera De Fibra De Vidrio. Plantilla Antiperforación Textil. Suela De Eva/Caucho-Nitrilo"/>
    <n v="42"/>
    <x v="0"/>
    <x v="0"/>
    <s v="NEGRO"/>
    <s v="PIEL NOBUCK"/>
    <s v="Fibra de vidrio"/>
    <s v="Antiperforación textil"/>
    <s v="EVA/CAUCHO-NITRILO"/>
    <n v="48"/>
    <n v="8457780313097"/>
    <s v="18457780313094"/>
    <s v="https://forli.es/trekking/347-3157-SAVANAH.html#/27-talla-35/42-color-negro_black"/>
    <s v="https://forli.es/index.php?controller=attachment&amp;id_attachment=155"/>
  </r>
  <r>
    <s v="FOR.BALTIMORE"/>
    <x v="8"/>
    <s v="FOR.BALTIMORE-00-36"/>
    <s v="BOTA PU S4+CI+SRC Blanco 36"/>
    <s v="BOTA PU S4+CI+SRC Blanco 36. FABRICADO EN PU. PUNTERA DE Acero. PLANTILLA No lleva. SUELA DE PU/PU DOBLE DENSIDAD"/>
    <s v="Bota Pu S4+Ci+Src Blanco 36. Fabricado En Pu. Puntera De Acero. Plantilla No Lleva. Suela De Pu/Pu Doble Densidad"/>
    <n v="25.6"/>
    <x v="0"/>
    <x v="0"/>
    <s v="BLANCO"/>
    <s v="PU"/>
    <s v="Acero"/>
    <s v="No lleva"/>
    <s v="PU/PU DOBLE DENSIDAD"/>
    <n v="36"/>
    <n v="8457780321894"/>
    <s v="28457780321898"/>
    <s v="https://forli.es/inicio/385-baltimore-s4-ci-src.html"/>
    <m/>
  </r>
  <r>
    <s v="FOR.BALTIMORE"/>
    <x v="8"/>
    <s v="FOR.BALTIMORE-00-37"/>
    <s v="BOTA PU S4+CI+SRC Blanco 37"/>
    <s v="BOTA PU S4+CI+SRC Blanco 37. FABRICADO EN PU. PUNTERA DE Acero. PLANTILLA No lleva. SUELA DE PU/PU DOBLE DENSIDAD"/>
    <s v="Bota Pu S4+Ci+Src Blanco 37. Fabricado En Pu. Puntera De Acero. Plantilla No Lleva. Suela De Pu/Pu Doble Densidad"/>
    <n v="25.6"/>
    <x v="0"/>
    <x v="0"/>
    <s v="BLANCO"/>
    <s v="PU"/>
    <s v="Acero"/>
    <s v="No lleva"/>
    <s v="PU/PU DOBLE DENSIDAD"/>
    <n v="37"/>
    <n v="8457780321900"/>
    <s v="28457780321904"/>
    <s v="https://forli.es/inicio/385-baltimore-s4-ci-src.html"/>
    <m/>
  </r>
  <r>
    <s v="FOR.BALTIMORE"/>
    <x v="8"/>
    <s v="FOR.BALTIMORE-00-38"/>
    <s v="BOTA PU S4+CI+SRC Blanco 38"/>
    <s v="BOTA PU S4+CI+SRC Blanco 38. FABRICADO EN PU. PUNTERA DE Acero. PLANTILLA No lleva. SUELA DE PU/PU DOBLE DENSIDAD"/>
    <s v="Bota Pu S4+Ci+Src Blanco 38. Fabricado En Pu. Puntera De Acero. Plantilla No Lleva. Suela De Pu/Pu Doble Densidad"/>
    <n v="25.6"/>
    <x v="0"/>
    <x v="0"/>
    <s v="BLANCO"/>
    <s v="PU"/>
    <s v="Acero"/>
    <s v="No lleva"/>
    <s v="PU/PU DOBLE DENSIDAD"/>
    <n v="38"/>
    <n v="8457780321917"/>
    <s v="28457780321911"/>
    <s v="https://forli.es/inicio/385-baltimore-s4-ci-src.html"/>
    <m/>
  </r>
  <r>
    <s v="FOR.BALTIMORE"/>
    <x v="8"/>
    <s v="FOR.BALTIMORE-00-39"/>
    <s v="BOTA PU S4+CI+SRC Blanco 39"/>
    <s v="BOTA PU S4+CI+SRC Blanco 39. FABRICADO EN PU. PUNTERA DE Acero. PLANTILLA No lleva. SUELA DE PU/PU DOBLE DENSIDAD"/>
    <s v="Bota Pu S4+Ci+Src Blanco 39. Fabricado En Pu. Puntera De Acero. Plantilla No Lleva. Suela De Pu/Pu Doble Densidad"/>
    <n v="25.6"/>
    <x v="0"/>
    <x v="0"/>
    <s v="BLANCO"/>
    <s v="PU"/>
    <s v="Acero"/>
    <s v="No lleva"/>
    <s v="PU/PU DOBLE DENSIDAD"/>
    <n v="39"/>
    <n v="8457780321924"/>
    <s v="28457780321928"/>
    <s v="https://forli.es/inicio/385-baltimore-s4-ci-src.html"/>
    <m/>
  </r>
  <r>
    <s v="FOR.BALTIMORE"/>
    <x v="8"/>
    <s v="FOR.BALTIMORE-00-40"/>
    <s v="BOTA PU S4+CI+SRC Blanco 40"/>
    <s v="BOTA PU S4+CI+SRC Blanco 40. FABRICADO EN PU. PUNTERA DE Acero. PLANTILLA No lleva. SUELA DE PU/PU DOBLE DENSIDAD"/>
    <s v="Bota Pu S4+Ci+Src Blanco 40. Fabricado En Pu. Puntera De Acero. Plantilla No Lleva. Suela De Pu/Pu Doble Densidad"/>
    <n v="25.6"/>
    <x v="0"/>
    <x v="0"/>
    <s v="BLANCO"/>
    <s v="PU"/>
    <s v="Acero"/>
    <s v="No lleva"/>
    <s v="PU/PU DOBLE DENSIDAD"/>
    <n v="40"/>
    <n v="8457780321931"/>
    <s v="28457780321935"/>
    <s v="https://forli.es/inicio/385-baltimore-s4-ci-src.html"/>
    <m/>
  </r>
  <r>
    <s v="FOR.BALTIMORE"/>
    <x v="8"/>
    <s v="FOR.BALTIMORE-00-41"/>
    <s v="BOTA PU S4+CI+SRC Blanco 41"/>
    <s v="BOTA PU S4+CI+SRC Blanco 41. FABRICADO EN PU. PUNTERA DE Acero. PLANTILLA No lleva. SUELA DE PU/PU DOBLE DENSIDAD"/>
    <s v="Bota Pu S4+Ci+Src Blanco 41. Fabricado En Pu. Puntera De Acero. Plantilla No Lleva. Suela De Pu/Pu Doble Densidad"/>
    <n v="25.6"/>
    <x v="0"/>
    <x v="0"/>
    <s v="BLANCO"/>
    <s v="PU"/>
    <s v="Acero"/>
    <s v="No lleva"/>
    <s v="PU/PU DOBLE DENSIDAD"/>
    <n v="41"/>
    <n v="8457780321948"/>
    <s v="28457780321942"/>
    <s v="https://forli.es/inicio/385-baltimore-s4-ci-src.html"/>
    <m/>
  </r>
  <r>
    <s v="FOR.BALTIMORE"/>
    <x v="8"/>
    <s v="FOR.BALTIMORE-00-42"/>
    <s v="BOTA PU S4+CI+SRC Blanco 42"/>
    <s v="BOTA PU S4+CI+SRC Blanco 42. FABRICADO EN PU. PUNTERA DE Acero. PLANTILLA No lleva. SUELA DE PU/PU DOBLE DENSIDAD"/>
    <s v="Bota Pu S4+Ci+Src Blanco 42. Fabricado En Pu. Puntera De Acero. Plantilla No Lleva. Suela De Pu/Pu Doble Densidad"/>
    <n v="25.6"/>
    <x v="0"/>
    <x v="0"/>
    <s v="BLANCO"/>
    <s v="PU"/>
    <s v="Acero"/>
    <s v="No lleva"/>
    <s v="PU/PU DOBLE DENSIDAD"/>
    <n v="42"/>
    <n v="8457780321955"/>
    <s v="28457780321959"/>
    <s v="https://forli.es/inicio/385-baltimore-s4-ci-src.html"/>
    <m/>
  </r>
  <r>
    <s v="FOR.BALTIMORE"/>
    <x v="8"/>
    <s v="FOR.BALTIMORE-00-43"/>
    <s v="BOTA PU S4+CI+SRC Blanco 43"/>
    <s v="BOTA PU S4+CI+SRC Blanco 43. FABRICADO EN PU. PUNTERA DE Acero. PLANTILLA No lleva. SUELA DE PU/PU DOBLE DENSIDAD"/>
    <s v="Bota Pu S4+Ci+Src Blanco 43. Fabricado En Pu. Puntera De Acero. Plantilla No Lleva. Suela De Pu/Pu Doble Densidad"/>
    <n v="25.6"/>
    <x v="0"/>
    <x v="0"/>
    <s v="BLANCO"/>
    <s v="PU"/>
    <s v="Acero"/>
    <s v="No lleva"/>
    <s v="PU/PU DOBLE DENSIDAD"/>
    <n v="43"/>
    <n v="8457780321962"/>
    <s v="28457780321966"/>
    <s v="https://forli.es/inicio/385-baltimore-s4-ci-src.html"/>
    <m/>
  </r>
  <r>
    <s v="FOR.BALTIMORE"/>
    <x v="8"/>
    <s v="FOR.BALTIMORE-00-44"/>
    <s v="BOTA PU S4+CI+SRC Blanco 44"/>
    <s v="BOTA PU S4+CI+SRC Blanco 44. FABRICADO EN PU. PUNTERA DE Acero. PLANTILLA No lleva. SUELA DE PU/PU DOBLE DENSIDAD"/>
    <s v="Bota Pu S4+Ci+Src Blanco 44. Fabricado En Pu. Puntera De Acero. Plantilla No Lleva. Suela De Pu/Pu Doble Densidad"/>
    <n v="25.6"/>
    <x v="0"/>
    <x v="0"/>
    <s v="BLANCO"/>
    <s v="PU"/>
    <s v="Acero"/>
    <s v="No lleva"/>
    <s v="PU/PU DOBLE DENSIDAD"/>
    <n v="44"/>
    <n v="8457780321979"/>
    <s v="28457780321973"/>
    <s v="https://forli.es/inicio/385-baltimore-s4-ci-src.html"/>
    <m/>
  </r>
  <r>
    <s v="FOR.BALTIMORE"/>
    <x v="8"/>
    <s v="FOR.BALTIMORE-00-45"/>
    <s v="BOTA PU S4+CI+SRC Blanco 45"/>
    <s v="BOTA PU S4+CI+SRC Blanco 45. FABRICADO EN PU. PUNTERA DE Acero. PLANTILLA No lleva. SUELA DE PU/PU DOBLE DENSIDAD"/>
    <s v="Bota Pu S4+Ci+Src Blanco 45. Fabricado En Pu. Puntera De Acero. Plantilla No Lleva. Suela De Pu/Pu Doble Densidad"/>
    <n v="25.6"/>
    <x v="0"/>
    <x v="0"/>
    <s v="BLANCO"/>
    <s v="PU"/>
    <s v="Acero"/>
    <s v="No lleva"/>
    <s v="PU/PU DOBLE DENSIDAD"/>
    <n v="45"/>
    <n v="8457780321986"/>
    <s v="28457780321980"/>
    <s v="https://forli.es/inicio/385-baltimore-s4-ci-src.html"/>
    <m/>
  </r>
  <r>
    <s v="FOR.BALTIMORE"/>
    <x v="8"/>
    <s v="FOR.BALTIMORE-00-46"/>
    <s v="BOTA PU S4+CI+SRC Blanco 46"/>
    <s v="BOTA PU S4+CI+SRC Blanco 46. FABRICADO EN PU. PUNTERA DE Acero. PLANTILLA No lleva. SUELA DE PU/PU DOBLE DENSIDAD"/>
    <s v="Bota Pu S4+Ci+Src Blanco 46. Fabricado En Pu. Puntera De Acero. Plantilla No Lleva. Suela De Pu/Pu Doble Densidad"/>
    <n v="25.6"/>
    <x v="0"/>
    <x v="0"/>
    <s v="BLANCO"/>
    <s v="PU"/>
    <s v="Acero"/>
    <s v="No lleva"/>
    <s v="PU/PU DOBLE DENSIDAD"/>
    <n v="46"/>
    <n v="8457780321993"/>
    <s v="28457780321997"/>
    <s v="https://forli.es/inicio/385-baltimore-s4-ci-src.html"/>
    <m/>
  </r>
  <r>
    <s v="FOR.BALTIMORE"/>
    <x v="8"/>
    <s v="FOR.BALTIMORE-00-47"/>
    <s v="BOTA PU S4+CI+SRC Blanco 47"/>
    <s v="BOTA PU S4+CI+SRC Blanco 47. FABRICADO EN PU. PUNTERA DE Acero. PLANTILLA No lleva. SUELA DE PU/PU DOBLE DENSIDAD"/>
    <s v="Bota Pu S4+Ci+Src Blanco 47. Fabricado En Pu. Puntera De Acero. Plantilla No Lleva. Suela De Pu/Pu Doble Densidad"/>
    <n v="25.6"/>
    <x v="0"/>
    <x v="0"/>
    <s v="BLANCO"/>
    <s v="PU"/>
    <s v="Acero"/>
    <s v="No lleva"/>
    <s v="PU/PU DOBLE DENSIDAD"/>
    <n v="47"/>
    <n v="8457780322006"/>
    <s v="28457780322000"/>
    <s v="https://forli.es/inicio/385-baltimore-s4-ci-src.html"/>
    <m/>
  </r>
  <r>
    <s v="FOR.BALTIMORE"/>
    <x v="8"/>
    <s v="FOR.BALTIMORE-00-48"/>
    <s v="BOTA PU S4+CI+SRC Blanco 48"/>
    <s v="BOTA PU S4+CI+SRC Blanco 48. FABRICADO EN PU. PUNTERA DE Acero. PLANTILLA No lleva. SUELA DE PU/PU DOBLE DENSIDAD"/>
    <s v="Bota Pu S4+Ci+Src Blanco 48. Fabricado En Pu. Puntera De Acero. Plantilla No Lleva. Suela De Pu/Pu Doble Densidad"/>
    <n v="25.6"/>
    <x v="0"/>
    <x v="0"/>
    <s v="BLANCO"/>
    <s v="PU"/>
    <s v="Acero"/>
    <s v="No lleva"/>
    <s v="PU/PU DOBLE DENSIDAD"/>
    <n v="48"/>
    <n v="8457780322013"/>
    <s v="28457780322017"/>
    <s v="https://forli.es/inicio/385-baltimore-s4-ci-src.html"/>
    <m/>
  </r>
  <r>
    <s v="FOR.CLEVELAND"/>
    <x v="9"/>
    <s v="FOR.CLEVELAND-57-36"/>
    <s v="BOTA PU S5+CI+SRC Verde Oscuro 36"/>
    <s v="BOTA PU S5+CI+SRC Verde Oscuro 36. FABRICADO EN PU. PUNTERA DE Acero. PLANTILLA Acero. SUELA DE PU/PU DOBLE DENSIDAD"/>
    <s v="Bota Pu S5+Ci+Src Verde Oscuro 36. Fabricado En Pu. Puntera De Acero. Plantilla Acero. Suela De Pu/Pu Doble Densidad"/>
    <n v="26.6"/>
    <x v="0"/>
    <x v="0"/>
    <s v="VERDE OSCURO"/>
    <s v="PU"/>
    <s v="Acero"/>
    <s v="Acero"/>
    <s v="PU/PU DOBLE DENSIDAD"/>
    <n v="36"/>
    <n v="8457780322020"/>
    <s v="28457780322024"/>
    <s v="https://forli.es/inicio/386-cleveland-s5-ci-src.html"/>
    <m/>
  </r>
  <r>
    <s v="FOR.CLEVELAND"/>
    <x v="9"/>
    <s v="FOR.CLEVELAND-57-37"/>
    <s v="BOTA PU S5+CI+SRC Verde Oscuro 37"/>
    <s v="BOTA PU S5+CI+SRC Verde Oscuro 37. FABRICADO EN PU. PUNTERA DE Acero. PLANTILLA Acero. SUELA DE PU/PU DOBLE DENSIDAD"/>
    <s v="Bota Pu S5+Ci+Src Verde Oscuro 37. Fabricado En Pu. Puntera De Acero. Plantilla Acero. Suela De Pu/Pu Doble Densidad"/>
    <n v="26.6"/>
    <x v="0"/>
    <x v="0"/>
    <s v="VERDE OSCURO"/>
    <s v="PU"/>
    <s v="Acero"/>
    <s v="Acero"/>
    <s v="PU/PU DOBLE DENSIDAD"/>
    <n v="37"/>
    <n v="8457780322037"/>
    <s v="28457780322031"/>
    <s v="https://forli.es/inicio/386-cleveland-s5-ci-src.html"/>
    <m/>
  </r>
  <r>
    <s v="FOR.CLEVELAND"/>
    <x v="9"/>
    <s v="FOR.CLEVELAND-57-38"/>
    <s v="BOTA PU S5+CI+SRC Verde Oscuro 38"/>
    <s v="BOTA PU S5+CI+SRC Verde Oscuro 38. FABRICADO EN PU. PUNTERA DE Acero. PLANTILLA Acero. SUELA DE PU/PU DOBLE DENSIDAD"/>
    <s v="Bota Pu S5+Ci+Src Verde Oscuro 38. Fabricado En Pu. Puntera De Acero. Plantilla Acero. Suela De Pu/Pu Doble Densidad"/>
    <n v="26.6"/>
    <x v="0"/>
    <x v="0"/>
    <s v="VERDE OSCURO"/>
    <s v="PU"/>
    <s v="Acero"/>
    <s v="Acero"/>
    <s v="PU/PU DOBLE DENSIDAD"/>
    <n v="38"/>
    <n v="8457780322044"/>
    <s v="28457780322048"/>
    <s v="https://forli.es/inicio/386-cleveland-s5-ci-src.html"/>
    <m/>
  </r>
  <r>
    <s v="FOR.CLEVELAND"/>
    <x v="9"/>
    <s v="FOR.CLEVELAND-57-39"/>
    <s v="BOTA PU S5+CI+SRC Verde Oscuro 39"/>
    <s v="BOTA PU S5+CI+SRC Verde Oscuro 39. FABRICADO EN PU. PUNTERA DE Acero. PLANTILLA Acero. SUELA DE PU/PU DOBLE DENSIDAD"/>
    <s v="Bota Pu S5+Ci+Src Verde Oscuro 39. Fabricado En Pu. Puntera De Acero. Plantilla Acero. Suela De Pu/Pu Doble Densidad"/>
    <n v="26.6"/>
    <x v="0"/>
    <x v="0"/>
    <s v="VERDE OSCURO"/>
    <s v="PU"/>
    <s v="Acero"/>
    <s v="Acero"/>
    <s v="PU/PU DOBLE DENSIDAD"/>
    <n v="39"/>
    <n v="8457780322051"/>
    <s v="28457780322055"/>
    <s v="https://forli.es/inicio/386-cleveland-s5-ci-src.html"/>
    <m/>
  </r>
  <r>
    <s v="FOR.CLEVELAND"/>
    <x v="9"/>
    <s v="FOR.CLEVELAND-57-40"/>
    <s v="BOTA PU S5+CI+SRC Verde Oscuro 40"/>
    <s v="BOTA PU S5+CI+SRC Verde Oscuro 40. FABRICADO EN PU. PUNTERA DE Acero. PLANTILLA Acero. SUELA DE PU/PU DOBLE DENSIDAD"/>
    <s v="Bota Pu S5+Ci+Src Verde Oscuro 40. Fabricado En Pu. Puntera De Acero. Plantilla Acero. Suela De Pu/Pu Doble Densidad"/>
    <n v="26.6"/>
    <x v="0"/>
    <x v="0"/>
    <s v="VERDE OSCURO"/>
    <s v="PU"/>
    <s v="Acero"/>
    <s v="Acero"/>
    <s v="PU/PU DOBLE DENSIDAD"/>
    <n v="40"/>
    <n v="8457780322068"/>
    <s v="28457780322062"/>
    <s v="https://forli.es/inicio/386-cleveland-s5-ci-src.html"/>
    <m/>
  </r>
  <r>
    <s v="FOR.CLEVELAND"/>
    <x v="9"/>
    <s v="FOR.CLEVELAND-57-41"/>
    <s v="BOTA PU S5+CI+SRC Verde Oscuro 41"/>
    <s v="BOTA PU S5+CI+SRC Verde Oscuro 41. FABRICADO EN PU. PUNTERA DE Acero. PLANTILLA Acero. SUELA DE PU/PU DOBLE DENSIDAD"/>
    <s v="Bota Pu S5+Ci+Src Verde Oscuro 41. Fabricado En Pu. Puntera De Acero. Plantilla Acero. Suela De Pu/Pu Doble Densidad"/>
    <n v="26.6"/>
    <x v="0"/>
    <x v="0"/>
    <s v="VERDE OSCURO"/>
    <s v="PU"/>
    <s v="Acero"/>
    <s v="Acero"/>
    <s v="PU/PU DOBLE DENSIDAD"/>
    <n v="41"/>
    <n v="8457780322075"/>
    <s v="28457780322079"/>
    <s v="https://forli.es/inicio/386-cleveland-s5-ci-src.html"/>
    <m/>
  </r>
  <r>
    <s v="FOR.CLEVELAND"/>
    <x v="9"/>
    <s v="FOR.CLEVELAND-57-42"/>
    <s v="BOTA PU S5+CI+SRC Verde Oscuro 42"/>
    <s v="BOTA PU S5+CI+SRC Verde Oscuro 42. FABRICADO EN PU. PUNTERA DE Acero. PLANTILLA Acero. SUELA DE PU/PU DOBLE DENSIDAD"/>
    <s v="Bota Pu S5+Ci+Src Verde Oscuro 42. Fabricado En Pu. Puntera De Acero. Plantilla Acero. Suela De Pu/Pu Doble Densidad"/>
    <n v="26.6"/>
    <x v="0"/>
    <x v="0"/>
    <s v="VERDE OSCURO"/>
    <s v="PU"/>
    <s v="Acero"/>
    <s v="Acero"/>
    <s v="PU/PU DOBLE DENSIDAD"/>
    <n v="42"/>
    <n v="8457780322082"/>
    <s v="28457780322086"/>
    <s v="https://forli.es/inicio/386-cleveland-s5-ci-src.html"/>
    <m/>
  </r>
  <r>
    <s v="FOR.CLEVELAND"/>
    <x v="9"/>
    <s v="FOR.CLEVELAND-57-43"/>
    <s v="BOTA PU S5+CI+SRC Verde Oscuro 43"/>
    <s v="BOTA PU S5+CI+SRC Verde Oscuro 43. FABRICADO EN PU. PUNTERA DE Acero. PLANTILLA Acero. SUELA DE PU/PU DOBLE DENSIDAD"/>
    <s v="Bota Pu S5+Ci+Src Verde Oscuro 43. Fabricado En Pu. Puntera De Acero. Plantilla Acero. Suela De Pu/Pu Doble Densidad"/>
    <n v="26.6"/>
    <x v="0"/>
    <x v="0"/>
    <s v="VERDE OSCURO"/>
    <s v="PU"/>
    <s v="Acero"/>
    <s v="Acero"/>
    <s v="PU/PU DOBLE DENSIDAD"/>
    <n v="43"/>
    <n v="8457780322099"/>
    <s v="28457780322093"/>
    <s v="https://forli.es/inicio/386-cleveland-s5-ci-src.html"/>
    <m/>
  </r>
  <r>
    <s v="FOR.CLEVELAND"/>
    <x v="9"/>
    <s v="FOR.CLEVELAND-57-44"/>
    <s v="BOTA PU S5+CI+SRC Verde Oscuro 44"/>
    <s v="BOTA PU S5+CI+SRC Verde Oscuro 44. FABRICADO EN PU. PUNTERA DE Acero. PLANTILLA Acero. SUELA DE PU/PU DOBLE DENSIDAD"/>
    <s v="Bota Pu S5+Ci+Src Verde Oscuro 44. Fabricado En Pu. Puntera De Acero. Plantilla Acero. Suela De Pu/Pu Doble Densidad"/>
    <n v="26.6"/>
    <x v="0"/>
    <x v="0"/>
    <s v="VERDE OSCURO"/>
    <s v="PU"/>
    <s v="Acero"/>
    <s v="Acero"/>
    <s v="PU/PU DOBLE DENSIDAD"/>
    <n v="44"/>
    <n v="8457780322105"/>
    <s v="28457780322109"/>
    <s v="https://forli.es/inicio/386-cleveland-s5-ci-src.html"/>
    <m/>
  </r>
  <r>
    <s v="FOR.CLEVELAND"/>
    <x v="9"/>
    <s v="FOR.CLEVELAND-57-45"/>
    <s v="BOTA PU S5+CI+SRC Verde Oscuro 45"/>
    <s v="BOTA PU S5+CI+SRC Verde Oscuro 45. FABRICADO EN PU. PUNTERA DE Acero. PLANTILLA Acero. SUELA DE PU/PU DOBLE DENSIDAD"/>
    <s v="Bota Pu S5+Ci+Src Verde Oscuro 45. Fabricado En Pu. Puntera De Acero. Plantilla Acero. Suela De Pu/Pu Doble Densidad"/>
    <n v="26.6"/>
    <x v="0"/>
    <x v="0"/>
    <s v="VERDE OSCURO"/>
    <s v="PU"/>
    <s v="Acero"/>
    <s v="Acero"/>
    <s v="PU/PU DOBLE DENSIDAD"/>
    <n v="45"/>
    <n v="8457780322112"/>
    <s v="28457780322116"/>
    <s v="https://forli.es/inicio/386-cleveland-s5-ci-src.html"/>
    <m/>
  </r>
  <r>
    <s v="FOR.CLEVELAND"/>
    <x v="9"/>
    <s v="FOR.CLEVELAND-57-46"/>
    <s v="BOTA PU S5+CI+SRC Verde Oscuro 46"/>
    <s v="BOTA PU S5+CI+SRC Verde Oscuro 46. FABRICADO EN PU. PUNTERA DE Acero. PLANTILLA Acero. SUELA DE PU/PU DOBLE DENSIDAD"/>
    <s v="Bota Pu S5+Ci+Src Verde Oscuro 46. Fabricado En Pu. Puntera De Acero. Plantilla Acero. Suela De Pu/Pu Doble Densidad"/>
    <n v="26.6"/>
    <x v="0"/>
    <x v="0"/>
    <s v="VERDE OSCURO"/>
    <s v="PU"/>
    <s v="Acero"/>
    <s v="Acero"/>
    <s v="PU/PU DOBLE DENSIDAD"/>
    <n v="46"/>
    <n v="8457780322129"/>
    <s v="28457780322123"/>
    <s v="https://forli.es/inicio/386-cleveland-s5-ci-src.html"/>
    <m/>
  </r>
  <r>
    <s v="FOR.CLEVELAND"/>
    <x v="9"/>
    <s v="FOR.CLEVELAND-57-47"/>
    <s v="BOTA PU S5+CI+SRC Verde Oscuro 47"/>
    <s v="BOTA PU S5+CI+SRC Verde Oscuro 47. FABRICADO EN PU. PUNTERA DE Acero. PLANTILLA Acero. SUELA DE PU/PU DOBLE DENSIDAD"/>
    <s v="Bota Pu S5+Ci+Src Verde Oscuro 47. Fabricado En Pu. Puntera De Acero. Plantilla Acero. Suela De Pu/Pu Doble Densidad"/>
    <n v="26.6"/>
    <x v="0"/>
    <x v="0"/>
    <s v="VERDE OSCURO"/>
    <s v="PU"/>
    <s v="Acero"/>
    <s v="Acero"/>
    <s v="PU/PU DOBLE DENSIDAD"/>
    <n v="47"/>
    <n v="8457780322136"/>
    <s v="28457780322130"/>
    <s v="https://forli.es/inicio/386-cleveland-s5-ci-src.html"/>
    <m/>
  </r>
  <r>
    <s v="FOR.CLEVELAND"/>
    <x v="9"/>
    <s v="FOR.CLEVELAND-57-48"/>
    <s v="BOTA PU S5+CI+SRC Verde Oscuro 48"/>
    <s v="BOTA PU S5+CI+SRC Verde Oscuro 48. FABRICADO EN PU. PUNTERA DE Acero. PLANTILLA Acero. SUELA DE PU/PU DOBLE DENSIDAD"/>
    <s v="Bota Pu S5+Ci+Src Verde Oscuro 48. Fabricado En Pu. Puntera De Acero. Plantilla Acero. Suela De Pu/Pu Doble Densidad"/>
    <n v="26.6"/>
    <x v="0"/>
    <x v="0"/>
    <s v="VERDE OSCURO"/>
    <s v="PU"/>
    <s v="Acero"/>
    <s v="Acero"/>
    <s v="PU/PU DOBLE DENSIDAD"/>
    <n v="48"/>
    <n v="8457780322143"/>
    <s v="28457780322147"/>
    <s v="https://forli.es/inicio/386-cleveland-s5-ci-src.html"/>
    <m/>
  </r>
  <r>
    <s v="FOR.ASPEN"/>
    <x v="10"/>
    <s v="FOR.ASPEN-94-35"/>
    <s v="BOTA S3S +CI+HI+ FO+HRO+SR+ESD Gris 35"/>
    <s v="BOTA S3S +CI+HI+ FO+HRO+SR+ESD Gris 35. FABRICADO EN MICROFIBRA ACABADO NOBUK. PUNTERA DE Fibra de vidrio. PLANTILLA Antiperforación textil. SUELA DE EVA/CAUCHO-NITRILO"/>
    <s v="Bota S3S +Ci+Hi+ Fo+Hro+Sr+Esd Gris 35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35"/>
    <n v="8457780336980"/>
    <s v="18457780336987"/>
    <s v="https://forli.es/evolution/372-11040-ASPEN.html#/27-talla-35/41-color-gris"/>
    <m/>
  </r>
  <r>
    <s v="FOR.ASPEN"/>
    <x v="10"/>
    <s v="FOR.ASPEN-94-36"/>
    <s v="BOTA S3S +CI+HI+ FO+HRO+SR+ESD Gris 36"/>
    <s v="BOTA S3S +CI+HI+ FO+HRO+SR+ESD Gris 36. FABRICADO EN MICROFIBRA ACABADO NOBUK. PUNTERA DE Fibra de vidrio. PLANTILLA Antiperforación textil. SUELA DE EVA/CAUCHO-NITRILO"/>
    <s v="Bota S3S +Ci+Hi+ Fo+Hro+Sr+Esd Gris 36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36"/>
    <n v="8457780336997"/>
    <s v="18457780336994"/>
    <s v="https://forli.es/evolution/372-11040-ASPEN.html#/27-talla-35/41-color-gris"/>
    <m/>
  </r>
  <r>
    <s v="FOR.ASPEN"/>
    <x v="10"/>
    <s v="FOR.ASPEN-94-37"/>
    <s v="BOTA S3S +CI+HI+ FO+HRO+SR+ESD Gris 37"/>
    <s v="BOTA S3S +CI+HI+ FO+HRO+SR+ESD Gris 37. FABRICADO EN MICROFIBRA ACABADO NOBUK. PUNTERA DE Fibra de vidrio. PLANTILLA Antiperforación textil. SUELA DE EVA/CAUCHO-NITRILO"/>
    <s v="Bota S3S +Ci+Hi+ Fo+Hro+Sr+Esd Gris 37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37"/>
    <n v="8457780337000"/>
    <s v="18457780337007"/>
    <s v="https://forli.es/evolution/372-11040-ASPEN.html#/27-talla-35/41-color-gris"/>
    <m/>
  </r>
  <r>
    <s v="FOR.ASPEN"/>
    <x v="10"/>
    <s v="FOR.ASPEN-94-38"/>
    <s v="BOTA S3S +CI+HI+ FO+HRO+SR+ESD Gris 38"/>
    <s v="BOTA S3S +CI+HI+ FO+HRO+SR+ESD Gris 38. FABRICADO EN MICROFIBRA ACABADO NOBUK. PUNTERA DE Fibra de vidrio. PLANTILLA Antiperforación textil. SUELA DE EVA/CAUCHO-NITRILO"/>
    <s v="Bota S3S +Ci+Hi+ Fo+Hro+Sr+Esd Gris 38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38"/>
    <n v="8457780337017"/>
    <s v="18457780337014"/>
    <s v="https://forli.es/evolution/372-11040-ASPEN.html#/27-talla-35/41-color-gris"/>
    <m/>
  </r>
  <r>
    <s v="FOR.ASPEN"/>
    <x v="10"/>
    <s v="FOR.ASPEN-94-39"/>
    <s v="BOTA S3S +CI+HI+ FO+HRO+SR+ESD Gris 39"/>
    <s v="BOTA S3S +CI+HI+ FO+HRO+SR+ESD Gris 39. FABRICADO EN MICROFIBRA ACABADO NOBUK. PUNTERA DE Fibra de vidrio. PLANTILLA Antiperforación textil. SUELA DE EVA/CAUCHO-NITRILO"/>
    <s v="Bota S3S +Ci+Hi+ Fo+Hro+Sr+Esd Gris 39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39"/>
    <n v="8457780337024"/>
    <s v="18457780337021"/>
    <s v="https://forli.es/evolution/372-11040-ASPEN.html#/27-talla-35/41-color-gris"/>
    <m/>
  </r>
  <r>
    <s v="FOR.ASPEN"/>
    <x v="10"/>
    <s v="FOR.ASPEN-94-40"/>
    <s v="BOTA S3S +CI+HI+ FO+HRO+SR+ESD Gris 40"/>
    <s v="BOTA S3S +CI+HI+ FO+HRO+SR+ESD Gris 40. FABRICADO EN MICROFIBRA ACABADO NOBUK. PUNTERA DE Fibra de vidrio. PLANTILLA Antiperforación textil. SUELA DE EVA/CAUCHO-NITRILO"/>
    <s v="Bota S3S +Ci+Hi+ Fo+Hro+Sr+Esd Gris 40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0"/>
    <n v="8457780337031"/>
    <s v="18457780337038"/>
    <s v="https://forli.es/evolution/372-11040-ASPEN.html#/27-talla-35/41-color-gris"/>
    <m/>
  </r>
  <r>
    <s v="FOR.ASPEN"/>
    <x v="10"/>
    <s v="FOR.ASPEN-94-41"/>
    <s v="BOTA S3S +CI+HI+ FO+HRO+SR+ESD Gris 41"/>
    <s v="BOTA S3S +CI+HI+ FO+HRO+SR+ESD Gris 41. FABRICADO EN MICROFIBRA ACABADO NOBUK. PUNTERA DE Fibra de vidrio. PLANTILLA Antiperforación textil. SUELA DE EVA/CAUCHO-NITRILO"/>
    <s v="Bota S3S +Ci+Hi+ Fo+Hro+Sr+Esd Gris 41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1"/>
    <n v="8457780337048"/>
    <s v="18457780337045"/>
    <s v="https://forli.es/evolution/372-11040-ASPEN.html#/27-talla-35/41-color-gris"/>
    <m/>
  </r>
  <r>
    <s v="FOR.ASPEN"/>
    <x v="10"/>
    <s v="FOR.ASPEN-94-42"/>
    <s v="BOTA S3S +CI+HI+ FO+HRO+SR+ESD Gris 42"/>
    <s v="BOTA S3S +CI+HI+ FO+HRO+SR+ESD Gris 42. FABRICADO EN MICROFIBRA ACABADO NOBUK. PUNTERA DE Fibra de vidrio. PLANTILLA Antiperforación textil. SUELA DE EVA/CAUCHO-NITRILO"/>
    <s v="Bota S3S +Ci+Hi+ Fo+Hro+Sr+Esd Gris 42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2"/>
    <n v="8457780337055"/>
    <s v="18457780337052"/>
    <s v="https://forli.es/evolution/372-11040-ASPEN.html#/27-talla-35/41-color-gris"/>
    <m/>
  </r>
  <r>
    <s v="FOR.ASPEN"/>
    <x v="10"/>
    <s v="FOR.ASPEN-94-43"/>
    <s v="BOTA S3S +CI+HI+ FO+HRO+SR+ESD Gris 43"/>
    <s v="BOTA S3S +CI+HI+ FO+HRO+SR+ESD Gris 43. FABRICADO EN MICROFIBRA ACABADO NOBUK. PUNTERA DE Fibra de vidrio. PLANTILLA Antiperforación textil. SUELA DE EVA/CAUCHO-NITRILO"/>
    <s v="Bota S3S +Ci+Hi+ Fo+Hro+Sr+Esd Gris 43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3"/>
    <n v="8457780337062"/>
    <s v="18457780337069"/>
    <s v="https://forli.es/evolution/372-11040-ASPEN.html#/27-talla-35/41-color-gris"/>
    <m/>
  </r>
  <r>
    <s v="FOR.ASPEN"/>
    <x v="10"/>
    <s v="FOR.ASPEN-94-44"/>
    <s v="BOTA S3S +CI+HI+ FO+HRO+SR+ESD Gris 44"/>
    <s v="BOTA S3S +CI+HI+ FO+HRO+SR+ESD Gris 44. FABRICADO EN MICROFIBRA ACABADO NOBUK. PUNTERA DE Fibra de vidrio. PLANTILLA Antiperforación textil. SUELA DE EVA/CAUCHO-NITRILO"/>
    <s v="Bota S3S +Ci+Hi+ Fo+Hro+Sr+Esd Gris 44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4"/>
    <n v="8457780337079"/>
    <s v="18457780337076"/>
    <s v="https://forli.es/evolution/372-11040-ASPEN.html#/27-talla-35/41-color-gris"/>
    <m/>
  </r>
  <r>
    <s v="FOR.ASPEN"/>
    <x v="10"/>
    <s v="FOR.ASPEN-94-45"/>
    <s v="BOTA S3S +CI+HI+ FO+HRO+SR+ESD Gris 45"/>
    <s v="BOTA S3S +CI+HI+ FO+HRO+SR+ESD Gris 45. FABRICADO EN MICROFIBRA ACABADO NOBUK. PUNTERA DE Fibra de vidrio. PLANTILLA Antiperforación textil. SUELA DE EVA/CAUCHO-NITRILO"/>
    <s v="Bota S3S +Ci+Hi+ Fo+Hro+Sr+Esd Gris 45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5"/>
    <n v="8457780337086"/>
    <s v="18457780337083"/>
    <s v="https://forli.es/evolution/372-11040-ASPEN.html#/27-talla-35/41-color-gris"/>
    <m/>
  </r>
  <r>
    <s v="FOR.ASPEN"/>
    <x v="10"/>
    <s v="FOR.ASPEN-94-46"/>
    <s v="BOTA S3S +CI+HI+ FO+HRO+SR+ESD Gris 46"/>
    <s v="BOTA S3S +CI+HI+ FO+HRO+SR+ESD Gris 46. FABRICADO EN MICROFIBRA ACABADO NOBUK. PUNTERA DE Fibra de vidrio. PLANTILLA Antiperforación textil. SUELA DE EVA/CAUCHO-NITRILO"/>
    <s v="Bota S3S +Ci+Hi+ Fo+Hro+Sr+Esd Gris 46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6"/>
    <n v="8457780337093"/>
    <s v="18457780337090"/>
    <s v="https://forli.es/evolution/372-11040-ASPEN.html#/27-talla-35/41-color-gris"/>
    <m/>
  </r>
  <r>
    <s v="FOR.ASPEN"/>
    <x v="10"/>
    <s v="FOR.ASPEN-94-47"/>
    <s v="BOTA S3S +CI+HI+ FO+HRO+SR+ESD Gris 47"/>
    <s v="BOTA S3S +CI+HI+ FO+HRO+SR+ESD Gris 47. FABRICADO EN MICROFIBRA ACABADO NOBUK. PUNTERA DE Fibra de vidrio. PLANTILLA Antiperforación textil. SUELA DE EVA/CAUCHO-NITRILO"/>
    <s v="Bota S3S +Ci+Hi+ Fo+Hro+Sr+Esd Gris 47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7"/>
    <n v="8457780337109"/>
    <s v="18457780337106"/>
    <s v="https://forli.es/evolution/372-11040-ASPEN.html#/27-talla-35/41-color-gris"/>
    <m/>
  </r>
  <r>
    <s v="FOR.ASPEN"/>
    <x v="10"/>
    <s v="FOR.ASPEN-94-48"/>
    <s v="BOTA S3S +CI+HI+ FO+HRO+SR+ESD Gris 48"/>
    <s v="BOTA S3S +CI+HI+ FO+HRO+SR+ESD Gris 48. FABRICADO EN MICROFIBRA ACABADO NOBUK. PUNTERA DE Fibra de vidrio. PLANTILLA Antiperforación textil. SUELA DE EVA/CAUCHO-NITRILO"/>
    <s v="Bota S3S +Ci+Hi+ Fo+Hro+Sr+Esd Gris 48. Fabricado En Microfibra Acabado Nobuk. Puntera De Fibra De Vidrio. Plantilla Antiperforación Textil. Suela De Eva/Caucho-Nitrilo"/>
    <n v="40.9"/>
    <x v="0"/>
    <x v="0"/>
    <s v="NEGRO"/>
    <s v="MICROFIBRA ACABADO NOBUK"/>
    <s v="Fibra de vidrio"/>
    <s v="Antiperforación textil"/>
    <s v="EVA/CAUCHO-NITRILO"/>
    <n v="48"/>
    <n v="8457780337116"/>
    <s v="18457780337113"/>
    <s v="https://forli.es/evolution/372-11040-ASPEN.html#/27-talla-35/41-color-gris"/>
    <m/>
  </r>
  <r>
    <s v="FOR.CASPER"/>
    <x v="11"/>
    <s v="FOR.CASPER-99-35"/>
    <s v="BOTA S3S+CI+FO+SC+SR+ESD Negro 35"/>
    <s v="BOTA S3S+CI+FO+SC+SR+ESD Negro 35. FABRICADO EN TEXTIL S3. PUNTERA DE Fibra de vidrio. PLANTILLA Antiperforación textil. SUELA DE PU/PU DOBLE DENSIDAD"/>
    <s v="Bota S3S+Ci+Fo+Sc+Sr+Esd Negro 35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35"/>
    <n v="8457780350634"/>
    <n v="18457780350631"/>
    <s v="https://forli.es/medium-metal-free/419-OXFORD.html"/>
    <s v="https://forli.es/index.php?controller=attachment&amp;id_attachment=500"/>
  </r>
  <r>
    <s v="FOR.CASPER"/>
    <x v="11"/>
    <s v="FOR.CASPER-99-36"/>
    <s v="BOTA S3S+CI+FO+SC+SR+ESD Negro 36"/>
    <s v="BOTA S3S+CI+FO+SC+SR+ESD Negro 36. FABRICADO EN TEXTIL S3. PUNTERA DE Fibra de vidrio. PLANTILLA Antiperforación textil. SUELA DE PU/PU DOBLE DENSIDAD"/>
    <s v="Bota S3S+Ci+Fo+Sc+Sr+Esd Negro 36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36"/>
    <n v="8457780350641"/>
    <n v="18457780350648"/>
    <s v="https://forli.es/medium-metal-free/419-OXFORD.html"/>
    <s v="https://forli.es/index.php?controller=attachment&amp;id_attachment=501"/>
  </r>
  <r>
    <s v="FOR.CASPER"/>
    <x v="11"/>
    <s v="FOR.CASPER-99-37"/>
    <s v="BOTA S3S+CI+FO+SC+SR+ESD Negro 37"/>
    <s v="BOTA S3S+CI+FO+SC+SR+ESD Negro 37. FABRICADO EN TEXTIL S3. PUNTERA DE Fibra de vidrio. PLANTILLA Antiperforación textil. SUELA DE PU/PU DOBLE DENSIDAD"/>
    <s v="Bota S3S+Ci+Fo+Sc+Sr+Esd Negro 37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37"/>
    <n v="8457780350658"/>
    <n v="18457780350655"/>
    <s v="https://forli.es/medium-metal-free/419-OXFORD.html"/>
    <s v="https://forli.es/index.php?controller=attachment&amp;id_attachment=502"/>
  </r>
  <r>
    <s v="FOR.CASPER"/>
    <x v="11"/>
    <s v="FOR.CASPER-99-38"/>
    <s v="BOTA S3S+CI+FO+SC+SR+ESD Negro 38"/>
    <s v="BOTA S3S+CI+FO+SC+SR+ESD Negro 38. FABRICADO EN TEXTIL S3. PUNTERA DE Fibra de vidrio. PLANTILLA Antiperforación textil. SUELA DE PU/PU DOBLE DENSIDAD"/>
    <s v="Bota S3S+Ci+Fo+Sc+Sr+Esd Negro 38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38"/>
    <n v="8457780350665"/>
    <n v="18457780350662"/>
    <s v="https://forli.es/medium-metal-free/419-OXFORD.html"/>
    <s v="https://forli.es/index.php?controller=attachment&amp;id_attachment=503"/>
  </r>
  <r>
    <s v="FOR.CASPER"/>
    <x v="11"/>
    <s v="FOR.CASPER-99-39"/>
    <s v="BOTA S3S+CI+FO+SC+SR+ESD Negro 39"/>
    <s v="BOTA S3S+CI+FO+SC+SR+ESD Negro 39. FABRICADO EN TEXTIL S3. PUNTERA DE Fibra de vidrio. PLANTILLA Antiperforación textil. SUELA DE PU/PU DOBLE DENSIDAD"/>
    <s v="Bota S3S+Ci+Fo+Sc+Sr+Esd Negro 39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39"/>
    <n v="8457780350672"/>
    <n v="18457780350679"/>
    <s v="https://forli.es/medium-metal-free/419-OXFORD.html"/>
    <s v="https://forli.es/index.php?controller=attachment&amp;id_attachment=504"/>
  </r>
  <r>
    <s v="FOR.CASPER"/>
    <x v="11"/>
    <s v="FOR.CASPER-99-40"/>
    <s v="BOTA S3S+CI+FO+SC+SR+ESD Negro 40"/>
    <s v="BOTA S3S+CI+FO+SC+SR+ESD Negro 40. FABRICADO EN TEXTIL S3. PUNTERA DE Fibra de vidrio. PLANTILLA Antiperforación textil. SUELA DE PU/PU DOBLE DENSIDAD"/>
    <s v="Bota S3S+Ci+Fo+Sc+Sr+Esd Negro 40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0"/>
    <n v="8457780350689"/>
    <n v="18457780350686"/>
    <s v="https://forli.es/medium-metal-free/419-OXFORD.html"/>
    <s v="https://forli.es/index.php?controller=attachment&amp;id_attachment=505"/>
  </r>
  <r>
    <s v="FOR.CASPER"/>
    <x v="11"/>
    <s v="FOR.CASPER-99-41"/>
    <s v="BOTA S3S+CI+FO+SC+SR+ESD Negro 41"/>
    <s v="BOTA S3S+CI+FO+SC+SR+ESD Negro 41. FABRICADO EN TEXTIL S3. PUNTERA DE Fibra de vidrio. PLANTILLA Antiperforación textil. SUELA DE PU/PU DOBLE DENSIDAD"/>
    <s v="Bota S3S+Ci+Fo+Sc+Sr+Esd Negro 41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1"/>
    <n v="8457780350696"/>
    <n v="18457780350693"/>
    <s v="https://forli.es/medium-metal-free/419-OXFORD.html"/>
    <s v="https://forli.es/index.php?controller=attachment&amp;id_attachment=506"/>
  </r>
  <r>
    <s v="FOR.CASPER"/>
    <x v="11"/>
    <s v="FOR.CASPER-99-42"/>
    <s v="BOTA S3S+CI+FO+SC+SR+ESD Negro 42"/>
    <s v="BOTA S3S+CI+FO+SC+SR+ESD Negro 42. FABRICADO EN TEXTIL S3. PUNTERA DE Fibra de vidrio. PLANTILLA Antiperforación textil. SUELA DE PU/PU DOBLE DENSIDAD"/>
    <s v="Bota S3S+Ci+Fo+Sc+Sr+Esd Negro 42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2"/>
    <n v="8457780350702"/>
    <n v="18457780350709"/>
    <s v="https://forli.es/medium-metal-free/419-OXFORD.html"/>
    <s v="https://forli.es/index.php?controller=attachment&amp;id_attachment=507"/>
  </r>
  <r>
    <s v="FOR.CASPER"/>
    <x v="11"/>
    <s v="FOR.CASPER-99-43"/>
    <s v="BOTA S3S+CI+FO+SC+SR+ESD Negro 43"/>
    <s v="BOTA S3S+CI+FO+SC+SR+ESD Negro 43. FABRICADO EN TEXTIL S3. PUNTERA DE Fibra de vidrio. PLANTILLA Antiperforación textil. SUELA DE PU/PU DOBLE DENSIDAD"/>
    <s v="Bota S3S+Ci+Fo+Sc+Sr+Esd Negro 43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3"/>
    <n v="8457780350719"/>
    <n v="18457780350716"/>
    <s v="https://forli.es/medium-metal-free/419-OXFORD.html"/>
    <s v="https://forli.es/index.php?controller=attachment&amp;id_attachment=508"/>
  </r>
  <r>
    <s v="FOR.CASPER"/>
    <x v="11"/>
    <s v="FOR.CASPER-99-44"/>
    <s v="BOTA S3S+CI+FO+SC+SR+ESD Negro 44"/>
    <s v="BOTA S3S+CI+FO+SC+SR+ESD Negro 44. FABRICADO EN TEXTIL S3. PUNTERA DE Fibra de vidrio. PLANTILLA Antiperforación textil. SUELA DE PU/PU DOBLE DENSIDAD"/>
    <s v="Bota S3S+Ci+Fo+Sc+Sr+Esd Negro 44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4"/>
    <n v="8457780350726"/>
    <n v="18457780350723"/>
    <s v="https://forli.es/medium-metal-free/419-OXFORD.html"/>
    <s v="https://forli.es/index.php?controller=attachment&amp;id_attachment=509"/>
  </r>
  <r>
    <s v="FOR.CASPER"/>
    <x v="11"/>
    <s v="FOR.CASPER-99-45"/>
    <s v="BOTA S3S+CI+FO+SC+SR+ESD Negro 45"/>
    <s v="BOTA S3S+CI+FO+SC+SR+ESD Negro 45. FABRICADO EN TEXTIL S3. PUNTERA DE Fibra de vidrio. PLANTILLA Antiperforación textil. SUELA DE PU/PU DOBLE DENSIDAD"/>
    <s v="Bota S3S+Ci+Fo+Sc+Sr+Esd Negro 45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5"/>
    <n v="8457780350733"/>
    <n v="18457780350730"/>
    <s v="https://forli.es/medium-metal-free/419-OXFORD.html"/>
    <s v="https://forli.es/index.php?controller=attachment&amp;id_attachment=510"/>
  </r>
  <r>
    <s v="FOR.CASPER"/>
    <x v="11"/>
    <s v="FOR.CASPER-99-46"/>
    <s v="BOTA S3S+CI+FO+SC+SR+ESD Negro 46"/>
    <s v="BOTA S3S+CI+FO+SC+SR+ESD Negro 46. FABRICADO EN TEXTIL S3. PUNTERA DE Fibra de vidrio. PLANTILLA Antiperforación textil. SUELA DE PU/PU DOBLE DENSIDAD"/>
    <s v="Bota S3S+Ci+Fo+Sc+Sr+Esd Negro 46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6"/>
    <n v="8457780350740"/>
    <n v="18457780350747"/>
    <s v="https://forli.es/medium-metal-free/419-OXFORD.html"/>
    <s v="https://forli.es/index.php?controller=attachment&amp;id_attachment=511"/>
  </r>
  <r>
    <s v="FOR.CASPER"/>
    <x v="11"/>
    <s v="FOR.CASPER-99-47"/>
    <s v="BOTA S3S+CI+FO+SC+SR+ESD Negro 47"/>
    <s v="BOTA S3S+CI+FO+SC+SR+ESD Negro 47. FABRICADO EN TEXTIL S3. PUNTERA DE Fibra de vidrio. PLANTILLA Antiperforación textil. SUELA DE PU/PU DOBLE DENSIDAD"/>
    <s v="Bota S3S+Ci+Fo+Sc+Sr+Esd Negro 47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7"/>
    <n v="8457780350757"/>
    <n v="18457780350754"/>
    <s v="https://forli.es/medium-metal-free/419-OXFORD.html"/>
    <s v="https://forli.es/index.php?controller=attachment&amp;id_attachment=512"/>
  </r>
  <r>
    <s v="FOR.CASPER"/>
    <x v="11"/>
    <s v="FOR.CASPER-99-48"/>
    <s v="BOTA S3S+CI+FO+SC+SR+ESD Negro 48"/>
    <s v="BOTA S3S+CI+FO+SC+SR+ESD Negro 48. FABRICADO EN TEXTIL S3. PUNTERA DE Fibra de vidrio. PLANTILLA Antiperforación textil. SUELA DE PU/PU DOBLE DENSIDAD"/>
    <s v="Bota S3S+Ci+Fo+Sc+Sr+Esd Negro 48. Fabricado En Textil S3. Puntera De Fibra De Vidrio. Plantilla Antiperforación Textil. Suela De Pu/Pu Doble Densidad"/>
    <n v="19.899999999999999"/>
    <x v="0"/>
    <x v="0"/>
    <s v="NEGRO"/>
    <s v="TEXTIL S3"/>
    <s v="Fibra de vidrio"/>
    <s v="Antiperforación textil"/>
    <s v="PU/PU DOBLE DENSIDAD"/>
    <n v="48"/>
    <n v="8457780350764"/>
    <n v="18457780350761"/>
    <s v="https://forli.es/medium-metal-free/419-OXFORD.html"/>
    <s v="https://forli.es/index.php?controller=attachment&amp;id_attachment=513"/>
  </r>
  <r>
    <s v="FOR.BRONX"/>
    <x v="12"/>
    <s v="FOR.BRONX-99-35"/>
    <s v="BOTA S3S+CI+HI+ FO+HRO+SC+SR+ESD Negro-Rojo 35"/>
    <s v="BOTA S3S+CI+HI+ FO+HRO+SC+SR+ESD Negro-Rojo 35. FABRICADO EN MICROFIBRA + MATERIAL ANTIABRASION . PUNTERA DE Fibra de vidrio. PLANTILLA Antiperforación textil. SUELA DE EVA/CAUCHO-NITRILO"/>
    <s v="Bota S3S+Ci+Hi+ Fo+Hro+Sc+Sr+Esd Negro-Rojo 35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35"/>
    <n v="8457780336706"/>
    <s v="18457780336703"/>
    <s v="https://forli.es/inicio/383-harlem-s3s-hi-ci-fo-hro-sc-sr-esd.html"/>
    <m/>
  </r>
  <r>
    <s v="FOR.BRONX"/>
    <x v="12"/>
    <s v="FOR.BRONX-99-36"/>
    <s v="BOTA S3S+CI+HI+ FO+HRO+SC+SR+ESD Negro-Rojo 36"/>
    <s v="BOTA S3S+CI+HI+ FO+HRO+SC+SR+ESD Negro-Rojo 36. FABRICADO EN MICROFIBRA + MATERIAL ANTIABRASION . PUNTERA DE Fibra de vidrio. PLANTILLA Antiperforación textil. SUELA DE EVA/CAUCHO-NITRILO"/>
    <s v="Bota S3S+Ci+Hi+ Fo+Hro+Sc+Sr+Esd Negro-Rojo 36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36"/>
    <n v="8457780336713"/>
    <s v="18457780336710"/>
    <s v="https://forli.es/inicio/383-harlem-s3s-hi-ci-fo-hro-sc-sr-esd.html"/>
    <m/>
  </r>
  <r>
    <s v="FOR.BRONX"/>
    <x v="12"/>
    <s v="FOR.BRONX-99-37"/>
    <s v="BOTA S3S+CI+HI+ FO+HRO+SC+SR+ESD Negro-Rojo 37"/>
    <s v="BOTA S3S+CI+HI+ FO+HRO+SC+SR+ESD Negro-Rojo 37. FABRICADO EN MICROFIBRA + MATERIAL ANTIABRASION . PUNTERA DE Fibra de vidrio. PLANTILLA Antiperforación textil. SUELA DE EVA/CAUCHO-NITRILO"/>
    <s v="Bota S3S+Ci+Hi+ Fo+Hro+Sc+Sr+Esd Negro-Rojo 37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37"/>
    <n v="8457780336720"/>
    <s v="18457780336727"/>
    <s v="https://forli.es/inicio/383-harlem-s3s-hi-ci-fo-hro-sc-sr-esd.html"/>
    <m/>
  </r>
  <r>
    <s v="FOR.BRONX"/>
    <x v="12"/>
    <s v="FOR.BRONX-99-38"/>
    <s v="BOTA S3S+CI+HI+ FO+HRO+SC+SR+ESD Negro-Rojo 38"/>
    <s v="BOTA S3S+CI+HI+ FO+HRO+SC+SR+ESD Negro-Rojo 38. FABRICADO EN MICROFIBRA + MATERIAL ANTIABRASION . PUNTERA DE Fibra de vidrio. PLANTILLA Antiperforación textil. SUELA DE EVA/CAUCHO-NITRILO"/>
    <s v="Bota S3S+Ci+Hi+ Fo+Hro+Sc+Sr+Esd Negro-Rojo 38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38"/>
    <n v="8457780336737"/>
    <s v="18457780336734"/>
    <s v="https://forli.es/inicio/383-harlem-s3s-hi-ci-fo-hro-sc-sr-esd.html"/>
    <m/>
  </r>
  <r>
    <s v="FOR.BRONX"/>
    <x v="12"/>
    <s v="FOR.BRONX-99-39"/>
    <s v="BOTA S3S+CI+HI+ FO+HRO+SC+SR+ESD Negro-Rojo 39"/>
    <s v="BOTA S3S+CI+HI+ FO+HRO+SC+SR+ESD Negro-Rojo 39. FABRICADO EN MICROFIBRA + MATERIAL ANTIABRASION . PUNTERA DE Fibra de vidrio. PLANTILLA Antiperforación textil. SUELA DE EVA/CAUCHO-NITRILO"/>
    <s v="Bota S3S+Ci+Hi+ Fo+Hro+Sc+Sr+Esd Negro-Rojo 39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39"/>
    <n v="8457780336744"/>
    <s v="18457780336741"/>
    <s v="https://forli.es/inicio/383-harlem-s3s-hi-ci-fo-hro-sc-sr-esd.html"/>
    <m/>
  </r>
  <r>
    <s v="FOR.BRONX"/>
    <x v="12"/>
    <s v="FOR.BRONX-99-40"/>
    <s v="BOTA S3S+CI+HI+ FO+HRO+SC+SR+ESD Negro-Rojo 40"/>
    <s v="BOTA S3S+CI+HI+ FO+HRO+SC+SR+ESD Negro-Rojo 40. FABRICADO EN MICROFIBRA + MATERIAL ANTIABRASION . PUNTERA DE Fibra de vidrio. PLANTILLA Antiperforación textil. SUELA DE EVA/CAUCHO-NITRILO"/>
    <s v="Bota S3S+Ci+Hi+ Fo+Hro+Sc+Sr+Esd Negro-Rojo 40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0"/>
    <n v="8457780336751"/>
    <s v="18457780336758"/>
    <s v="https://forli.es/inicio/383-harlem-s3s-hi-ci-fo-hro-sc-sr-esd.html"/>
    <m/>
  </r>
  <r>
    <s v="FOR.BRONX"/>
    <x v="12"/>
    <s v="FOR.BRONX-99-41"/>
    <s v="BOTA S3S+CI+HI+ FO+HRO+SC+SR+ESD Negro-Rojo 41"/>
    <s v="BOTA S3S+CI+HI+ FO+HRO+SC+SR+ESD Negro-Rojo 41. FABRICADO EN MICROFIBRA + MATERIAL ANTIABRASION . PUNTERA DE Fibra de vidrio. PLANTILLA Antiperforación textil. SUELA DE EVA/CAUCHO-NITRILO"/>
    <s v="Bota S3S+Ci+Hi+ Fo+Hro+Sc+Sr+Esd Negro-Rojo 41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1"/>
    <n v="8457780336768"/>
    <s v="18457780336765"/>
    <s v="https://forli.es/inicio/383-harlem-s3s-hi-ci-fo-hro-sc-sr-esd.html"/>
    <m/>
  </r>
  <r>
    <s v="FOR.BRONX"/>
    <x v="12"/>
    <s v="FOR.BRONX-99-42"/>
    <s v="BOTA S3S+CI+HI+ FO+HRO+SC+SR+ESD Negro-Rojo 42"/>
    <s v="BOTA S3S+CI+HI+ FO+HRO+SC+SR+ESD Negro-Rojo 42. FABRICADO EN MICROFIBRA + MATERIAL ANTIABRASION . PUNTERA DE Fibra de vidrio. PLANTILLA Antiperforación textil. SUELA DE EVA/CAUCHO-NITRILO"/>
    <s v="Bota S3S+Ci+Hi+ Fo+Hro+Sc+Sr+Esd Negro-Rojo 42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2"/>
    <n v="8457780336775"/>
    <s v="18457780336772"/>
    <s v="https://forli.es/inicio/383-harlem-s3s-hi-ci-fo-hro-sc-sr-esd.html"/>
    <m/>
  </r>
  <r>
    <s v="FOR.BRONX"/>
    <x v="12"/>
    <s v="FOR.BRONX-99-43"/>
    <s v="BOTA S3S+CI+HI+ FO+HRO+SC+SR+ESD Negro-Rojo 43"/>
    <s v="BOTA S3S+CI+HI+ FO+HRO+SC+SR+ESD Negro-Rojo 43. FABRICADO EN MICROFIBRA + MATERIAL ANTIABRASION . PUNTERA DE Fibra de vidrio. PLANTILLA Antiperforación textil. SUELA DE EVA/CAUCHO-NITRILO"/>
    <s v="Bota S3S+Ci+Hi+ Fo+Hro+Sc+Sr+Esd Negro-Rojo 43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3"/>
    <n v="8457780336782"/>
    <s v="18457780336789"/>
    <s v="https://forli.es/inicio/383-harlem-s3s-hi-ci-fo-hro-sc-sr-esd.html"/>
    <m/>
  </r>
  <r>
    <s v="FOR.BRONX"/>
    <x v="12"/>
    <s v="FOR.BRONX-99-44"/>
    <s v="BOTA S3S+CI+HI+ FO+HRO+SC+SR+ESD Negro-Rojo 44"/>
    <s v="BOTA S3S+CI+HI+ FO+HRO+SC+SR+ESD Negro-Rojo 44. FABRICADO EN MICROFIBRA + MATERIAL ANTIABRASION . PUNTERA DE Fibra de vidrio. PLANTILLA Antiperforación textil. SUELA DE EVA/CAUCHO-NITRILO"/>
    <s v="Bota S3S+Ci+Hi+ Fo+Hro+Sc+Sr+Esd Negro-Rojo 44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4"/>
    <n v="8457780336799"/>
    <s v="18457780336796"/>
    <s v="https://forli.es/inicio/383-harlem-s3s-hi-ci-fo-hro-sc-sr-esd.html"/>
    <m/>
  </r>
  <r>
    <s v="FOR.BRONX"/>
    <x v="12"/>
    <s v="FOR.BRONX-99-45"/>
    <s v="BOTA S3S+CI+HI+ FO+HRO+SC+SR+ESD Negro-Rojo 45"/>
    <s v="BOTA S3S+CI+HI+ FO+HRO+SC+SR+ESD Negro-Rojo 45. FABRICADO EN MICROFIBRA + MATERIAL ANTIABRASION . PUNTERA DE Fibra de vidrio. PLANTILLA Antiperforación textil. SUELA DE EVA/CAUCHO-NITRILO"/>
    <s v="Bota S3S+Ci+Hi+ Fo+Hro+Sc+Sr+Esd Negro-Rojo 45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5"/>
    <n v="8457780336805"/>
    <s v="18457780336802"/>
    <s v="https://forli.es/inicio/383-harlem-s3s-hi-ci-fo-hro-sc-sr-esd.html"/>
    <m/>
  </r>
  <r>
    <s v="FOR.BRONX"/>
    <x v="12"/>
    <s v="FOR.BRONX-99-46"/>
    <s v="BOTA S3S+CI+HI+ FO+HRO+SC+SR+ESD Negro-Rojo 46"/>
    <s v="BOTA S3S+CI+HI+ FO+HRO+SC+SR+ESD Negro-Rojo 46. FABRICADO EN MICROFIBRA + MATERIAL ANTIABRASION . PUNTERA DE Fibra de vidrio. PLANTILLA Antiperforación textil. SUELA DE EVA/CAUCHO-NITRILO"/>
    <s v="Bota S3S+Ci+Hi+ Fo+Hro+Sc+Sr+Esd Negro-Rojo 46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6"/>
    <n v="8457780336812"/>
    <s v="18457780336819"/>
    <s v="https://forli.es/inicio/383-harlem-s3s-hi-ci-fo-hro-sc-sr-esd.html"/>
    <m/>
  </r>
  <r>
    <s v="FOR.BRONX"/>
    <x v="12"/>
    <s v="FOR.BRONX-99-47"/>
    <s v="BOTA S3S+CI+HI+ FO+HRO+SC+SR+ESD Negro-Rojo 47"/>
    <s v="BOTA S3S+CI+HI+ FO+HRO+SC+SR+ESD Negro-Rojo 47. FABRICADO EN MICROFIBRA + MATERIAL ANTIABRASION . PUNTERA DE Fibra de vidrio. PLANTILLA Antiperforación textil. SUELA DE EVA/CAUCHO-NITRILO"/>
    <s v="Bota S3S+Ci+Hi+ Fo+Hro+Sc+Sr+Esd Negro-Rojo 47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7"/>
    <n v="8457780336829"/>
    <s v="18457780336826"/>
    <s v="https://forli.es/inicio/383-harlem-s3s-hi-ci-fo-hro-sc-sr-esd.html"/>
    <m/>
  </r>
  <r>
    <s v="FOR.BRONX"/>
    <x v="12"/>
    <s v="FOR.BRONX-99-48"/>
    <s v="BOTA S3S+CI+HI+ FO+HRO+SC+SR+ESD Negro-Rojo 48"/>
    <s v="BOTA S3S+CI+HI+ FO+HRO+SC+SR+ESD Negro-Rojo 48. FABRICADO EN MICROFIBRA + MATERIAL ANTIABRASION . PUNTERA DE Fibra de vidrio. PLANTILLA Antiperforación textil. SUELA DE EVA/CAUCHO-NITRILO"/>
    <s v="Bota S3S+Ci+Hi+ Fo+Hro+Sc+Sr+Esd Negro-Rojo 48. Fabricado En Microfibra + Material Antiabrasion . Puntera De Fibra De Vidrio. Plantilla Antiperforación Textil. Suela De Eva/Caucho-Nitrilo"/>
    <n v="36.9"/>
    <x v="0"/>
    <x v="0"/>
    <s v="NEGRO/ROJO"/>
    <s v="MICROFIBRA + MATERIAL ANTIABRASION "/>
    <s v="Fibra de vidrio"/>
    <s v="Antiperforación textil"/>
    <s v="EVA/CAUCHO-NITRILO"/>
    <n v="48"/>
    <n v="8457780336836"/>
    <s v="18457780336833"/>
    <s v="https://forli.es/inicio/383-harlem-s3s-hi-ci-fo-hro-sc-sr-esd.html"/>
    <m/>
  </r>
  <r>
    <s v="FOR.INDIANA"/>
    <x v="13"/>
    <s v="FOR.INDIANA-99-35"/>
    <s v="BOTA S3S+CI+HI+FO+SC+SR+ESD Negro 35"/>
    <s v="BOTA S3S+CI+HI+FO+SC+SR+ESD Negro 35. FABRICADO EN TEXTIL S3. PUNTERA DE Fibra de vidrio. PLANTILLA Antiperforación textil. SUELA DE PU/PU DOBLE DENSIDAD"/>
    <s v="Bota S3S+Ci+Hi+Fo+Sc+Sr+Esd Negro 35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35"/>
    <n v="8457780336263"/>
    <s v="18457780336260"/>
    <s v="https://forli.es/calzado-de-seguridad-ocupacional/371-11026-indiana.html#/27-talla-35/42-color-negro_black"/>
    <m/>
  </r>
  <r>
    <s v="FOR.INDIANA"/>
    <x v="13"/>
    <s v="FOR.INDIANA-99-36"/>
    <s v="BOTA S3S+CI+HI+FO+SC+SR+ESD Negro 36"/>
    <s v="BOTA S3S+CI+HI+FO+SC+SR+ESD Negro 36. FABRICADO EN TEXTIL S3. PUNTERA DE Fibra de vidrio. PLANTILLA Antiperforación textil. SUELA DE PU/PU DOBLE DENSIDAD"/>
    <s v="Bota S3S+Ci+Hi+Fo+Sc+Sr+Esd Negro 36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36"/>
    <n v="8457780336270"/>
    <s v="18457780336277"/>
    <s v="https://forli.es/calzado-de-seguridad-ocupacional/371-11026-indiana.html#/27-talla-35/42-color-negro_black"/>
    <m/>
  </r>
  <r>
    <s v="FOR.INDIANA"/>
    <x v="13"/>
    <s v="FOR.INDIANA-99-37"/>
    <s v="BOTA S3S+CI+HI+FO+SC+SR+ESD Negro 37"/>
    <s v="BOTA S3S+CI+HI+FO+SC+SR+ESD Negro 37. FABRICADO EN TEXTIL S3. PUNTERA DE Fibra de vidrio. PLANTILLA Antiperforación textil. SUELA DE PU/PU DOBLE DENSIDAD"/>
    <s v="Bota S3S+Ci+Hi+Fo+Sc+Sr+Esd Negro 37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37"/>
    <n v="8457780336287"/>
    <s v="18457780336284"/>
    <s v="https://forli.es/calzado-de-seguridad-ocupacional/371-11026-indiana.html#/27-talla-35/42-color-negro_black"/>
    <m/>
  </r>
  <r>
    <s v="FOR.INDIANA"/>
    <x v="13"/>
    <s v="FOR.INDIANA-99-38"/>
    <s v="BOTA S3S+CI+HI+FO+SC+SR+ESD Negro 38"/>
    <s v="BOTA S3S+CI+HI+FO+SC+SR+ESD Negro 38. FABRICADO EN TEXTIL S3. PUNTERA DE Fibra de vidrio. PLANTILLA Antiperforación textil. SUELA DE PU/PU DOBLE DENSIDAD"/>
    <s v="Bota S3S+Ci+Hi+Fo+Sc+Sr+Esd Negro 38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38"/>
    <n v="8457780336294"/>
    <s v="18457780336291"/>
    <s v="https://forli.es/calzado-de-seguridad-ocupacional/371-11026-indiana.html#/27-talla-35/42-color-negro_black"/>
    <m/>
  </r>
  <r>
    <s v="FOR.INDIANA"/>
    <x v="13"/>
    <s v="FOR.INDIANA-99-39"/>
    <s v="BOTA S3S+CI+HI+FO+SC+SR+ESD Negro 39"/>
    <s v="BOTA S3S+CI+HI+FO+SC+SR+ESD Negro 39. FABRICADO EN TEXTIL S3. PUNTERA DE Fibra de vidrio. PLANTILLA Antiperforación textil. SUELA DE PU/PU DOBLE DENSIDAD"/>
    <s v="Bota S3S+Ci+Hi+Fo+Sc+Sr+Esd Negro 39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39"/>
    <n v="8457780336300"/>
    <s v="18457780336307"/>
    <s v="https://forli.es/calzado-de-seguridad-ocupacional/371-11026-indiana.html#/27-talla-35/42-color-negro_black"/>
    <m/>
  </r>
  <r>
    <s v="FOR.INDIANA"/>
    <x v="13"/>
    <s v="FOR.INDIANA-99-40"/>
    <s v="BOTA S3S+CI+HI+FO+SC+SR+ESD Negro 40"/>
    <s v="BOTA S3S+CI+HI+FO+SC+SR+ESD Negro 40. FABRICADO EN TEXTIL S3. PUNTERA DE Fibra de vidrio. PLANTILLA Antiperforación textil. SUELA DE PU/PU DOBLE DENSIDAD"/>
    <s v="Bota S3S+Ci+Hi+Fo+Sc+Sr+Esd Negro 40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0"/>
    <n v="8457780336317"/>
    <s v="18457780336314"/>
    <s v="https://forli.es/calzado-de-seguridad-ocupacional/371-11026-indiana.html#/27-talla-35/42-color-negro_black"/>
    <m/>
  </r>
  <r>
    <s v="FOR.INDIANA"/>
    <x v="13"/>
    <s v="FOR.INDIANA-99-41"/>
    <s v="BOTA S3S+CI+HI+FO+SC+SR+ESD Negro 41"/>
    <s v="BOTA S3S+CI+HI+FO+SC+SR+ESD Negro 41. FABRICADO EN TEXTIL S3. PUNTERA DE Fibra de vidrio. PLANTILLA Antiperforación textil. SUELA DE PU/PU DOBLE DENSIDAD"/>
    <s v="Bota S3S+Ci+Hi+Fo+Sc+Sr+Esd Negro 41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1"/>
    <n v="8457780336324"/>
    <s v="18457780336321"/>
    <s v="https://forli.es/calzado-de-seguridad-ocupacional/371-11026-indiana.html#/27-talla-35/42-color-negro_black"/>
    <m/>
  </r>
  <r>
    <s v="FOR.INDIANA"/>
    <x v="13"/>
    <s v="FOR.INDIANA-99-42"/>
    <s v="BOTA S3S+CI+HI+FO+SC+SR+ESD Negro 42"/>
    <s v="BOTA S3S+CI+HI+FO+SC+SR+ESD Negro 42. FABRICADO EN TEXTIL S3. PUNTERA DE Fibra de vidrio. PLANTILLA Antiperforación textil. SUELA DE PU/PU DOBLE DENSIDAD"/>
    <s v="Bota S3S+Ci+Hi+Fo+Sc+Sr+Esd Negro 42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2"/>
    <n v="8457780336331"/>
    <s v="18457780336338"/>
    <s v="https://forli.es/calzado-de-seguridad-ocupacional/371-11026-indiana.html#/27-talla-35/42-color-negro_black"/>
    <m/>
  </r>
  <r>
    <s v="FOR.INDIANA"/>
    <x v="13"/>
    <s v="FOR.INDIANA-99-43"/>
    <s v="BOTA S3S+CI+HI+FO+SC+SR+ESD Negro 43"/>
    <s v="BOTA S3S+CI+HI+FO+SC+SR+ESD Negro 43. FABRICADO EN TEXTIL S3. PUNTERA DE Fibra de vidrio. PLANTILLA Antiperforación textil. SUELA DE PU/PU DOBLE DENSIDAD"/>
    <s v="Bota S3S+Ci+Hi+Fo+Sc+Sr+Esd Negro 43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3"/>
    <n v="8457780336348"/>
    <s v="18457780336345"/>
    <s v="https://forli.es/calzado-de-seguridad-ocupacional/371-11026-indiana.html#/27-talla-35/42-color-negro_black"/>
    <m/>
  </r>
  <r>
    <s v="FOR.INDIANA"/>
    <x v="13"/>
    <s v="FOR.INDIANA-99-44"/>
    <s v="BOTA S3S+CI+HI+FO+SC+SR+ESD Negro 44"/>
    <s v="BOTA S3S+CI+HI+FO+SC+SR+ESD Negro 44. FABRICADO EN TEXTIL S3. PUNTERA DE Fibra de vidrio. PLANTILLA Antiperforación textil. SUELA DE PU/PU DOBLE DENSIDAD"/>
    <s v="Bota S3S+Ci+Hi+Fo+Sc+Sr+Esd Negro 44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4"/>
    <n v="8457780336355"/>
    <s v="18457780336352"/>
    <s v="https://forli.es/calzado-de-seguridad-ocupacional/371-11026-indiana.html#/27-talla-35/42-color-negro_black"/>
    <m/>
  </r>
  <r>
    <s v="FOR.INDIANA"/>
    <x v="13"/>
    <s v="FOR.INDIANA-99-45"/>
    <s v="BOTA S3S+CI+HI+FO+SC+SR+ESD Negro 45"/>
    <s v="BOTA S3S+CI+HI+FO+SC+SR+ESD Negro 45. FABRICADO EN TEXTIL S3. PUNTERA DE Fibra de vidrio. PLANTILLA Antiperforación textil. SUELA DE PU/PU DOBLE DENSIDAD"/>
    <s v="Bota S3S+Ci+Hi+Fo+Sc+Sr+Esd Negro 45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5"/>
    <n v="8457780336362"/>
    <s v="18457780336369"/>
    <s v="https://forli.es/calzado-de-seguridad-ocupacional/371-11026-indiana.html#/27-talla-35/42-color-negro_black"/>
    <m/>
  </r>
  <r>
    <s v="FOR.INDIANA"/>
    <x v="13"/>
    <s v="FOR.INDIANA-99-46"/>
    <s v="BOTA S3S+CI+HI+FO+SC+SR+ESD Negro 46"/>
    <s v="BOTA S3S+CI+HI+FO+SC+SR+ESD Negro 46. FABRICADO EN TEXTIL S3. PUNTERA DE Fibra de vidrio. PLANTILLA Antiperforación textil. SUELA DE PU/PU DOBLE DENSIDAD"/>
    <s v="Bota S3S+Ci+Hi+Fo+Sc+Sr+Esd Negro 46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6"/>
    <n v="8457780336379"/>
    <s v="18457780336376"/>
    <s v="https://forli.es/calzado-de-seguridad-ocupacional/371-11026-indiana.html#/27-talla-35/42-color-negro_black"/>
    <m/>
  </r>
  <r>
    <s v="FOR.INDIANA"/>
    <x v="13"/>
    <s v="FOR.INDIANA-99-47"/>
    <s v="BOTA S3S+CI+HI+FO+SC+SR+ESD Negro 47"/>
    <s v="BOTA S3S+CI+HI+FO+SC+SR+ESD Negro 47. FABRICADO EN TEXTIL S3. PUNTERA DE Fibra de vidrio. PLANTILLA Antiperforación textil. SUELA DE PU/PU DOBLE DENSIDAD"/>
    <s v="Bota S3S+Ci+Hi+Fo+Sc+Sr+Esd Negro 47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7"/>
    <n v="8457780336386"/>
    <s v="18457780336383"/>
    <s v="https://forli.es/calzado-de-seguridad-ocupacional/371-11026-indiana.html#/27-talla-35/42-color-negro_black"/>
    <m/>
  </r>
  <r>
    <s v="FOR.INDIANA"/>
    <x v="13"/>
    <s v="FOR.INDIANA-99-48"/>
    <s v="BOTA S3S+CI+HI+FO+SC+SR+ESD Negro 48"/>
    <s v="BOTA S3S+CI+HI+FO+SC+SR+ESD Negro 48. FABRICADO EN TEXTIL S3. PUNTERA DE Fibra de vidrio. PLANTILLA Antiperforación textil. SUELA DE PU/PU DOBLE DENSIDAD"/>
    <s v="Bota S3S+Ci+Hi+Fo+Sc+Sr+Esd Negro 48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8"/>
    <n v="8457780336393"/>
    <s v="18457780336390"/>
    <s v="https://forli.es/calzado-de-seguridad-ocupacional/371-11026-indiana.html#/27-talla-35/42-color-negro_black"/>
    <m/>
  </r>
  <r>
    <s v="FOR.INDIANA"/>
    <x v="13"/>
    <s v="FOR.INDIANA-99-49"/>
    <s v="BOTA S3S+CI+HI+FO+SC+SR+ESD Negro 49"/>
    <s v="BOTA S3S+CI+HI+FO+SC+SR+ESD Negro 49. FABRICADO EN TEXTIL S3. PUNTERA DE Fibra de vidrio. PLANTILLA Antiperforación textil. SUELA DE PU/PU DOBLE DENSIDAD"/>
    <s v="Bota S3S+Ci+Hi+Fo+Sc+Sr+Esd Negro 49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49"/>
    <n v="8457780336409"/>
    <s v="18457780336406"/>
    <s v="https://forli.es/calzado-de-seguridad-ocupacional/371-11026-indiana.html#/27-talla-35/42-color-negro_black"/>
    <m/>
  </r>
  <r>
    <s v="FOR.INDIANA"/>
    <x v="13"/>
    <s v="FOR.INDIANA-99-50"/>
    <s v="BOTA S3S+CI+HI+FO+SC+SR+ESD Negro 50"/>
    <s v="BOTA S3S+CI+HI+FO+SC+SR+ESD Negro 50. FABRICADO EN TEXTIL S3. PUNTERA DE Fibra de vidrio. PLANTILLA Antiperforación textil. SUELA DE PU/PU DOBLE DENSIDAD"/>
    <s v="Bota S3S+Ci+Hi+Fo+Sc+Sr+Esd Negro 50. Fabricado En Textil S3. Puntera De Fibra De Vidrio. Plantilla Antiperforación Textil. Suela De Pu/Pu Doble Densidad"/>
    <n v="26"/>
    <x v="0"/>
    <x v="0"/>
    <s v="NEGRO"/>
    <s v="TEXTIL S3"/>
    <s v="Fibra de vidrio"/>
    <s v="Antiperforación textil"/>
    <s v="PU/PU DOBLE DENSIDAD"/>
    <n v="50"/>
    <n v="8457780336416"/>
    <s v="18457780336413"/>
    <s v="https://forli.es/calzado-de-seguridad-ocupacional/371-11026-indiana.html#/27-talla-35/42-color-negro_black"/>
    <m/>
  </r>
  <r>
    <s v="FOR.COLORADO"/>
    <x v="14"/>
    <s v="FOR.COLORADO-99-35"/>
    <s v="BOTA S3S+CI+HI+HRO+FO+SR+ESD Negro 35"/>
    <s v="BOTA S3S+CI+HI+HRO+FO+SR+ESD Negro 35. FABRICADO EN MATERIAL ANTIABRASION . PUNTERA DE Fibra de vidrio. PLANTILLA Antiperforación textil. SUELA DE EVA/CAUCHO-NITRILO"/>
    <s v="Bota S3S+Ci+Hi+Hro+Fo+Sr+Esd Negro 35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35"/>
    <n v="8457780312687"/>
    <s v="18457780312684"/>
    <s v="https://forli.es/trekking/342-3087-COLORADO.html#/27-talla-35/42-color-negro_black"/>
    <s v="https://forli.es/index.php?controller=attachment&amp;id_attachment=161"/>
  </r>
  <r>
    <s v="FOR.COLORADO"/>
    <x v="14"/>
    <s v="FOR.COLORADO-99-36"/>
    <s v="BOTA S3S+CI+HI+HRO+FO+SR+ESD Negro 36"/>
    <s v="BOTA S3S+CI+HI+HRO+FO+SR+ESD Negro 36. FABRICADO EN MATERIAL ANTIABRASION . PUNTERA DE Fibra de vidrio. PLANTILLA Antiperforación textil. SUELA DE EVA/CAUCHO-NITRILO"/>
    <s v="Bota S3S+Ci+Hi+Hro+Fo+Sr+Esd Negro 36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36"/>
    <n v="8457780312694"/>
    <s v="18457780312691"/>
    <s v="https://forli.es/trekking/342-3087-COLORADO.html#/27-talla-35/42-color-negro_black"/>
    <s v="https://forli.es/index.php?controller=attachment&amp;id_attachment=161"/>
  </r>
  <r>
    <s v="FOR.COLORADO"/>
    <x v="14"/>
    <s v="FOR.COLORADO-99-37"/>
    <s v="BOTA S3S+CI+HI+HRO+FO+SR+ESD Negro 37"/>
    <s v="BOTA S3S+CI+HI+HRO+FO+SR+ESD Negro 37. FABRICADO EN MATERIAL ANTIABRASION . PUNTERA DE Fibra de vidrio. PLANTILLA Antiperforación textil. SUELA DE EVA/CAUCHO-NITRILO"/>
    <s v="Bota S3S+Ci+Hi+Hro+Fo+Sr+Esd Negro 37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37"/>
    <n v="8457780312700"/>
    <s v="18457780312707"/>
    <s v="https://forli.es/trekking/342-3087-COLORADO.html#/27-talla-35/42-color-negro_black"/>
    <s v="https://forli.es/index.php?controller=attachment&amp;id_attachment=161"/>
  </r>
  <r>
    <s v="FOR.COLORADO"/>
    <x v="14"/>
    <s v="FOR.COLORADO-99-38"/>
    <s v="BOTA S3S+CI+HI+HRO+FO+SR+ESD Negro 38"/>
    <s v="BOTA S3S+CI+HI+HRO+FO+SR+ESD Negro 38. FABRICADO EN MATERIAL ANTIABRASION . PUNTERA DE Fibra de vidrio. PLANTILLA Antiperforación textil. SUELA DE EVA/CAUCHO-NITRILO"/>
    <s v="Bota S3S+Ci+Hi+Hro+Fo+Sr+Esd Negro 38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38"/>
    <n v="8457780312717"/>
    <s v="18457780312714"/>
    <s v="https://forli.es/trekking/342-3087-COLORADO.html#/27-talla-35/42-color-negro_black"/>
    <s v="https://forli.es/index.php?controller=attachment&amp;id_attachment=161"/>
  </r>
  <r>
    <s v="FOR.COLORADO"/>
    <x v="14"/>
    <s v="FOR.COLORADO-99-39"/>
    <s v="BOTA S3S+CI+HI+HRO+FO+SR+ESD Negro 39"/>
    <s v="BOTA S3S+CI+HI+HRO+FO+SR+ESD Negro 39. FABRICADO EN MATERIAL ANTIABRASION . PUNTERA DE Fibra de vidrio. PLANTILLA Antiperforación textil. SUELA DE EVA/CAUCHO-NITRILO"/>
    <s v="Bota S3S+Ci+Hi+Hro+Fo+Sr+Esd Negro 39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39"/>
    <n v="8457780312724"/>
    <s v="18457780312721"/>
    <s v="https://forli.es/trekking/342-3087-COLORADO.html#/27-talla-35/42-color-negro_black"/>
    <s v="https://forli.es/index.php?controller=attachment&amp;id_attachment=161"/>
  </r>
  <r>
    <s v="FOR.COLORADO"/>
    <x v="14"/>
    <s v="FOR.COLORADO-99-40"/>
    <s v="BOTA S3S+CI+HI+HRO+FO+SR+ESD Negro 40"/>
    <s v="BOTA S3S+CI+HI+HRO+FO+SR+ESD Negro 40. FABRICADO EN MATERIAL ANTIABRASION . PUNTERA DE Fibra de vidrio. PLANTILLA Antiperforación textil. SUELA DE EVA/CAUCHO-NITRILO"/>
    <s v="Bota S3S+Ci+Hi+Hro+Fo+Sr+Esd Negro 40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0"/>
    <n v="8457780312731"/>
    <s v="18457780312738"/>
    <s v="https://forli.es/trekking/342-3087-COLORADO.html#/27-talla-35/42-color-negro_black"/>
    <s v="https://forli.es/index.php?controller=attachment&amp;id_attachment=161"/>
  </r>
  <r>
    <s v="FOR.COLORADO"/>
    <x v="14"/>
    <s v="FOR.COLORADO-99-41"/>
    <s v="BOTA S3S+CI+HI+HRO+FO+SR+ESD Negro 41"/>
    <s v="BOTA S3S+CI+HI+HRO+FO+SR+ESD Negro 41. FABRICADO EN MATERIAL ANTIABRASION . PUNTERA DE Fibra de vidrio. PLANTILLA Antiperforación textil. SUELA DE EVA/CAUCHO-NITRILO"/>
    <s v="Bota S3S+Ci+Hi+Hro+Fo+Sr+Esd Negro 41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1"/>
    <n v="8457780312748"/>
    <s v="18457780312745"/>
    <s v="https://forli.es/trekking/342-3087-COLORADO.html#/27-talla-35/42-color-negro_black"/>
    <s v="https://forli.es/index.php?controller=attachment&amp;id_attachment=161"/>
  </r>
  <r>
    <s v="FOR.COLORADO"/>
    <x v="14"/>
    <s v="FOR.COLORADO-99-42"/>
    <s v="BOTA S3S+CI+HI+HRO+FO+SR+ESD Negro 42"/>
    <s v="BOTA S3S+CI+HI+HRO+FO+SR+ESD Negro 42. FABRICADO EN MATERIAL ANTIABRASION . PUNTERA DE Fibra de vidrio. PLANTILLA Antiperforación textil. SUELA DE EVA/CAUCHO-NITRILO"/>
    <s v="Bota S3S+Ci+Hi+Hro+Fo+Sr+Esd Negro 42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2"/>
    <n v="8457780312755"/>
    <s v="18457780312752"/>
    <s v="https://forli.es/trekking/342-3087-COLORADO.html#/27-talla-35/42-color-negro_black"/>
    <s v="https://forli.es/index.php?controller=attachment&amp;id_attachment=161"/>
  </r>
  <r>
    <s v="FOR.COLORADO"/>
    <x v="14"/>
    <s v="FOR.COLORADO-99-43"/>
    <s v="BOTA S3S+CI+HI+HRO+FO+SR+ESD Negro 43"/>
    <s v="BOTA S3S+CI+HI+HRO+FO+SR+ESD Negro 43. FABRICADO EN MATERIAL ANTIABRASION . PUNTERA DE Fibra de vidrio. PLANTILLA Antiperforación textil. SUELA DE EVA/CAUCHO-NITRILO"/>
    <s v="Bota S3S+Ci+Hi+Hro+Fo+Sr+Esd Negro 43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3"/>
    <n v="8457780312762"/>
    <s v="18457780312769"/>
    <s v="https://forli.es/trekking/342-3087-COLORADO.html#/27-talla-35/42-color-negro_black"/>
    <s v="https://forli.es/index.php?controller=attachment&amp;id_attachment=161"/>
  </r>
  <r>
    <s v="FOR.COLORADO"/>
    <x v="14"/>
    <s v="FOR.COLORADO-99-44"/>
    <s v="BOTA S3S+CI+HI+HRO+FO+SR+ESD Negro 44"/>
    <s v="BOTA S3S+CI+HI+HRO+FO+SR+ESD Negro 44. FABRICADO EN MATERIAL ANTIABRASION . PUNTERA DE Fibra de vidrio. PLANTILLA Antiperforación textil. SUELA DE EVA/CAUCHO-NITRILO"/>
    <s v="Bota S3S+Ci+Hi+Hro+Fo+Sr+Esd Negro 44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4"/>
    <n v="8457780312779"/>
    <s v="18457780312776"/>
    <s v="https://forli.es/trekking/342-3087-COLORADO.html#/27-talla-35/42-color-negro_black"/>
    <s v="https://forli.es/index.php?controller=attachment&amp;id_attachment=161"/>
  </r>
  <r>
    <s v="FOR.COLORADO"/>
    <x v="14"/>
    <s v="FOR.COLORADO-99-45"/>
    <s v="BOTA S3S+CI+HI+HRO+FO+SR+ESD Negro 45"/>
    <s v="BOTA S3S+CI+HI+HRO+FO+SR+ESD Negro 45. FABRICADO EN MATERIAL ANTIABRASION . PUNTERA DE Fibra de vidrio. PLANTILLA Antiperforación textil. SUELA DE EVA/CAUCHO-NITRILO"/>
    <s v="Bota S3S+Ci+Hi+Hro+Fo+Sr+Esd Negro 45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5"/>
    <n v="8457780312786"/>
    <s v="18457780312783"/>
    <s v="https://forli.es/trekking/342-3087-COLORADO.html#/27-talla-35/42-color-negro_black"/>
    <s v="https://forli.es/index.php?controller=attachment&amp;id_attachment=161"/>
  </r>
  <r>
    <s v="FOR.COLORADO"/>
    <x v="14"/>
    <s v="FOR.COLORADO-99-46"/>
    <s v="BOTA S3S+CI+HI+HRO+FO+SR+ESD Negro 46"/>
    <s v="BOTA S3S+CI+HI+HRO+FO+SR+ESD Negro 46. FABRICADO EN MATERIAL ANTIABRASION . PUNTERA DE Fibra de vidrio. PLANTILLA Antiperforación textil. SUELA DE EVA/CAUCHO-NITRILO"/>
    <s v="Bota S3S+Ci+Hi+Hro+Fo+Sr+Esd Negro 46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6"/>
    <n v="8457780312793"/>
    <s v="18457780312790"/>
    <s v="https://forli.es/trekking/342-3087-COLORADO.html#/27-talla-35/42-color-negro_black"/>
    <s v="https://forli.es/index.php?controller=attachment&amp;id_attachment=161"/>
  </r>
  <r>
    <s v="FOR.COLORADO"/>
    <x v="14"/>
    <s v="FOR.COLORADO-99-47"/>
    <s v="BOTA S3S+CI+HI+HRO+FO+SR+ESD Negro 47"/>
    <s v="BOTA S3S+CI+HI+HRO+FO+SR+ESD Negro 47. FABRICADO EN MATERIAL ANTIABRASION . PUNTERA DE Fibra de vidrio. PLANTILLA Antiperforación textil. SUELA DE EVA/CAUCHO-NITRILO"/>
    <s v="Bota S3S+Ci+Hi+Hro+Fo+Sr+Esd Negro 47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7"/>
    <n v="8457780312809"/>
    <s v="18457780312806"/>
    <s v="https://forli.es/trekking/342-3087-COLORADO.html#/27-talla-35/42-color-negro_black"/>
    <s v="https://forli.es/index.php?controller=attachment&amp;id_attachment=161"/>
  </r>
  <r>
    <s v="FOR.COLORADO"/>
    <x v="14"/>
    <s v="FOR.COLORADO-99-48"/>
    <s v="BOTA S3S+CI+HI+HRO+FO+SR+ESD Negro 48"/>
    <s v="BOTA S3S+CI+HI+HRO+FO+SR+ESD Negro 48. FABRICADO EN MATERIAL ANTIABRASION . PUNTERA DE Fibra de vidrio. PLANTILLA Antiperforación textil. SUELA DE EVA/CAUCHO-NITRILO"/>
    <s v="Bota S3S+Ci+Hi+Hro+Fo+Sr+Esd Negro 48. Fabricado En Material Antiabrasion . Puntera De Fibra De Vidrio. Plantilla Antiperforación Textil. Suela De Eva/Caucho-Nitrilo"/>
    <n v="33.9"/>
    <x v="0"/>
    <x v="0"/>
    <s v="NEGRO"/>
    <s v="MATERIAL ANTIABRASION "/>
    <s v="Fibra de vidrio"/>
    <s v="Antiperforación textil"/>
    <s v="EVA/CAUCHO-NITRILO"/>
    <n v="48"/>
    <n v="8457780312816"/>
    <s v="18457780312813"/>
    <s v="https://forli.es/trekking/342-3087-COLORADO.html#/27-talla-35/42-color-negro_black"/>
    <s v="https://forli.es/index.php?controller=attachment&amp;id_attachment=161"/>
  </r>
  <r>
    <s v="FOR.CHESTER"/>
    <x v="15"/>
    <s v="FOR.CHESTER-9943-35"/>
    <s v="BOTA SBPS E FO CI HI WPA WR HRO LG SC SR Negro/Rojo 35"/>
    <s v="BOTA SBPS E FO CI HI WPA WR HRO LG SC SR Negro/Rojo 35. FABRICADO EN POLIAMIDA + MICROFIBRA. PUNTERA DE Fibra de vidrio. PLANTILLA Antiperforación textil. SUELA DE PU/CAUCHO NITRILO"/>
    <s v="Bota Sbps E Fo Ci Hi Wpa Wr Hro Lg Sc Sr Negro/Rojo 35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35"/>
    <n v="8457780348426"/>
    <n v="18457780348423"/>
    <s v="https://forli.es/calzado-de-seguridad-ocupacional/417-ALASKA.html"/>
    <m/>
  </r>
  <r>
    <s v="FOR.CHESTER"/>
    <x v="15"/>
    <s v="FOR.CHESTER-9943-36"/>
    <s v="BOTA SBPS E FO CI HI WPA WR HRO LG SC SR Negro/Rojo 36"/>
    <s v="BOTA SBPS E FO CI HI WPA WR HRO LG SC SR Negro/Rojo 36. FABRICADO EN POLIAMIDA + MICROFIBRA. PUNTERA DE Fibra de vidrio. PLANTILLA Antiperforación textil. SUELA DE PU/CAUCHO NITRILO"/>
    <s v="Bota Sbps E Fo Ci Hi Wpa Wr Hro Lg Sc Sr Negro/Rojo 36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36"/>
    <n v="8457780348433"/>
    <n v="18457780348430"/>
    <s v="https://forli.es/calzado-de-seguridad-ocupacional/417-ALASKA.html"/>
    <m/>
  </r>
  <r>
    <s v="FOR.CHESTER"/>
    <x v="15"/>
    <s v="FOR.CHESTER-9943-37"/>
    <s v="BOTA SBPS E FO CI HI WPA WR HRO LG SC SR Negro/Rojo 37"/>
    <s v="BOTA SBPS E FO CI HI WPA WR HRO LG SC SR Negro/Rojo 37. FABRICADO EN POLIAMIDA + MICROFIBRA. PUNTERA DE Fibra de vidrio. PLANTILLA Antiperforación textil. SUELA DE PU/CAUCHO NITRILO"/>
    <s v="Bota Sbps E Fo Ci Hi Wpa Wr Hro Lg Sc Sr Negro/Rojo 37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37"/>
    <n v="8457780348440"/>
    <n v="18457780348447"/>
    <s v="https://forli.es/calzado-de-seguridad-ocupacional/417-ALASKA.html"/>
    <m/>
  </r>
  <r>
    <s v="FOR.CHESTER"/>
    <x v="15"/>
    <s v="FOR.CHESTER-9943-38"/>
    <s v="BOTA SBPS E FO CI HI WPA WR HRO LG SC SR Negro/Rojo 38"/>
    <s v="BOTA SBPS E FO CI HI WPA WR HRO LG SC SR Negro/Rojo 38. FABRICADO EN POLIAMIDA + MICROFIBRA. PUNTERA DE Fibra de vidrio. PLANTILLA Antiperforación textil. SUELA DE PU/CAUCHO NITRILO"/>
    <s v="Bota Sbps E Fo Ci Hi Wpa Wr Hro Lg Sc Sr Negro/Rojo 38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38"/>
    <n v="8457780348457"/>
    <n v="18457780348454"/>
    <s v="https://forli.es/calzado-de-seguridad-ocupacional/417-ALASKA.html"/>
    <m/>
  </r>
  <r>
    <s v="FOR.CHESTER"/>
    <x v="15"/>
    <s v="FOR.CHESTER-9943-39"/>
    <s v="BOTA SBPS E FO CI HI WPA WR HRO LG SC SR Negro/Rojo 39"/>
    <s v="BOTA SBPS E FO CI HI WPA WR HRO LG SC SR Negro/Rojo 39. FABRICADO EN POLIAMIDA + MICROFIBRA. PUNTERA DE Fibra de vidrio. PLANTILLA Antiperforación textil. SUELA DE PU/CAUCHO NITRILO"/>
    <s v="Bota Sbps E Fo Ci Hi Wpa Wr Hro Lg Sc Sr Negro/Rojo 39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39"/>
    <n v="8457780348464"/>
    <n v="18457780348461"/>
    <s v="https://forli.es/calzado-de-seguridad-ocupacional/417-ALASKA.html"/>
    <m/>
  </r>
  <r>
    <s v="FOR.CHESTER"/>
    <x v="15"/>
    <s v="FOR.CHESTER-9943-40"/>
    <s v="BOTA SBPS E FO CI HI WPA WR HRO LG SC SR Negro/Rojo 40"/>
    <s v="BOTA SBPS E FO CI HI WPA WR HRO LG SC SR Negro/Rojo 40. FABRICADO EN POLIAMIDA + MICROFIBRA. PUNTERA DE Fibra de vidrio. PLANTILLA Antiperforación textil. SUELA DE PU/CAUCHO NITRILO"/>
    <s v="Bota Sbps E Fo Ci Hi Wpa Wr Hro Lg Sc Sr Negro/Rojo 40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0"/>
    <n v="8457780348471"/>
    <n v="18457780348478"/>
    <s v="https://forli.es/calzado-de-seguridad-ocupacional/417-ALASKA.html"/>
    <m/>
  </r>
  <r>
    <s v="FOR.CHESTER"/>
    <x v="15"/>
    <s v="FOR.CHESTER-9943-41"/>
    <s v="BOTA SBPS E FO CI HI WPA WR HRO LG SC SR Negro/Rojo 41"/>
    <s v="BOTA SBPS E FO CI HI WPA WR HRO LG SC SR Negro/Rojo 41. FABRICADO EN POLIAMIDA + MICROFIBRA. PUNTERA DE Fibra de vidrio. PLANTILLA Antiperforación textil. SUELA DE PU/CAUCHO NITRILO"/>
    <s v="Bota Sbps E Fo Ci Hi Wpa Wr Hro Lg Sc Sr Negro/Rojo 41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1"/>
    <n v="8457780348488"/>
    <n v="18457780348485"/>
    <s v="https://forli.es/calzado-de-seguridad-ocupacional/417-ALASKA.html"/>
    <m/>
  </r>
  <r>
    <s v="FOR.CHESTER"/>
    <x v="15"/>
    <s v="FOR.CHESTER-9943-42"/>
    <s v="BOTA SBPS E FO CI HI WPA WR HRO LG SC SR Negro/Rojo 42"/>
    <s v="BOTA SBPS E FO CI HI WPA WR HRO LG SC SR Negro/Rojo 42. FABRICADO EN POLIAMIDA + MICROFIBRA. PUNTERA DE Fibra de vidrio. PLANTILLA Antiperforación textil. SUELA DE PU/CAUCHO NITRILO"/>
    <s v="Bota Sbps E Fo Ci Hi Wpa Wr Hro Lg Sc Sr Negro/Rojo 42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2"/>
    <n v="8457780348495"/>
    <n v="18457780348492"/>
    <s v="https://forli.es/calzado-de-seguridad-ocupacional/417-ALASKA.html"/>
    <m/>
  </r>
  <r>
    <s v="FOR.CHESTER"/>
    <x v="15"/>
    <s v="FOR.CHESTER-9943-43"/>
    <s v="BOTA SBPS E FO CI HI WPA WR HRO LG SC SR Negro/Rojo 43"/>
    <s v="BOTA SBPS E FO CI HI WPA WR HRO LG SC SR Negro/Rojo 43. FABRICADO EN POLIAMIDA + MICROFIBRA. PUNTERA DE Fibra de vidrio. PLANTILLA Antiperforación textil. SUELA DE PU/CAUCHO NITRILO"/>
    <s v="Bota Sbps E Fo Ci Hi Wpa Wr Hro Lg Sc Sr Negro/Rojo 43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3"/>
    <n v="8457780348501"/>
    <n v="18457780348508"/>
    <s v="https://forli.es/calzado-de-seguridad-ocupacional/417-ALASKA.html"/>
    <m/>
  </r>
  <r>
    <s v="FOR.CHESTER"/>
    <x v="15"/>
    <s v="FOR.CHESTER-9943-44"/>
    <s v="BOTA SBPS E FO CI HI WPA WR HRO LG SC SR Negro/Rojo 44"/>
    <s v="BOTA SBPS E FO CI HI WPA WR HRO LG SC SR Negro/Rojo 44. FABRICADO EN POLIAMIDA + MICROFIBRA. PUNTERA DE Fibra de vidrio. PLANTILLA Antiperforación textil. SUELA DE PU/CAUCHO NITRILO"/>
    <s v="Bota Sbps E Fo Ci Hi Wpa Wr Hro Lg Sc Sr Negro/Rojo 44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4"/>
    <n v="8457780348518"/>
    <n v="18457780348515"/>
    <s v="https://forli.es/calzado-de-seguridad-ocupacional/417-ALASKA.html"/>
    <m/>
  </r>
  <r>
    <s v="FOR.CHESTER"/>
    <x v="15"/>
    <s v="FOR.CHESTER-9943-45"/>
    <s v="BOTA SBPS E FO CI HI WPA WR HRO LG SC SR Negro/Rojo 45"/>
    <s v="BOTA SBPS E FO CI HI WPA WR HRO LG SC SR Negro/Rojo 45. FABRICADO EN POLIAMIDA + MICROFIBRA. PUNTERA DE Fibra de vidrio. PLANTILLA Antiperforación textil. SUELA DE PU/CAUCHO NITRILO"/>
    <s v="Bota Sbps E Fo Ci Hi Wpa Wr Hro Lg Sc Sr Negro/Rojo 45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5"/>
    <n v="8457780348525"/>
    <n v="18457780348522"/>
    <s v="https://forli.es/calzado-de-seguridad-ocupacional/417-ALASKA.html"/>
    <m/>
  </r>
  <r>
    <s v="FOR.CHESTER"/>
    <x v="15"/>
    <s v="FOR.CHESTER-9943-46"/>
    <s v="BOTA SBPS E FO CI HI WPA WR HRO LG SC SR Negro/Rojo 46"/>
    <s v="BOTA SBPS E FO CI HI WPA WR HRO LG SC SR Negro/Rojo 46. FABRICADO EN POLIAMIDA + MICROFIBRA. PUNTERA DE Fibra de vidrio. PLANTILLA Antiperforación textil. SUELA DE PU/CAUCHO NITRILO"/>
    <s v="Bota Sbps E Fo Ci Hi Wpa Wr Hro Lg Sc Sr Negro/Rojo 46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6"/>
    <n v="8457780348532"/>
    <n v="18457780348539"/>
    <s v="https://forli.es/calzado-de-seguridad-ocupacional/417-ALASKA.html"/>
    <m/>
  </r>
  <r>
    <s v="FOR.CHESTER"/>
    <x v="15"/>
    <s v="FOR.CHESTER-9943-47"/>
    <s v="BOTA SBPS E FO CI HI WPA WR HRO LG SC SR Negro/Rojo 47"/>
    <s v="BOTA SBPS E FO CI HI WPA WR HRO LG SC SR Negro/Rojo 47. FABRICADO EN POLIAMIDA + MICROFIBRA. PUNTERA DE Fibra de vidrio. PLANTILLA Antiperforación textil. SUELA DE PU/CAUCHO NITRILO"/>
    <s v="Bota Sbps E Fo Ci Hi Wpa Wr Hro Lg Sc Sr Negro/Rojo 47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7"/>
    <n v="8457780348549"/>
    <n v="18457780348546"/>
    <s v="https://forli.es/calzado-de-seguridad-ocupacional/417-ALASKA.html"/>
    <m/>
  </r>
  <r>
    <s v="FOR.CHESTER"/>
    <x v="15"/>
    <s v="FOR.CHESTER-9943-48"/>
    <s v="BOTA SBPS E FO CI HI WPA WR HRO LG SC SR Negro/Rojo 48"/>
    <s v="BOTA SBPS E FO CI HI WPA WR HRO LG SC SR Negro/Rojo 48. FABRICADO EN POLIAMIDA + MICROFIBRA. PUNTERA DE Fibra de vidrio. PLANTILLA Antiperforación textil. SUELA DE PU/CAUCHO NITRILO"/>
    <s v="Bota Sbps E Fo Ci Hi Wpa Wr Hro Lg Sc Sr Negro/Rojo 48. Fabricado En Poliamida + Microfibra. Puntera De Fibra De Vidrio. Plantilla Antiperforación Textil. Suela De Pu/Caucho Nitrilo"/>
    <n v="39.9"/>
    <x v="0"/>
    <x v="0"/>
    <s v="NEGRO/ROJO"/>
    <s v="POLIAMIDA + MICROFIBRA"/>
    <s v="Fibra de vidrio"/>
    <s v="Antiperforación textil"/>
    <s v="PU/CAUCHO NITRILO"/>
    <n v="48"/>
    <n v="8457780348556"/>
    <n v="18457780348553"/>
    <s v="https://forli.es/calzado-de-seguridad-ocupacional/417-ALASKA.html"/>
    <m/>
  </r>
  <r>
    <s v="FOR.AUSTIN"/>
    <x v="16"/>
    <s v="FOR.AUSTIN-94-35"/>
    <s v="BOTA SERRAJE S1+P+CI+SRC METALICO Gris 35"/>
    <s v="BOTA SERRAJE S1+P+CI+SRC METALICO Gris 35. FABRICADO EN PIEL SERRAJE. PUNTERA DE Acero. PLANTILLA Acero. SUELA DE PU/PU DOBLE DENSIDAD"/>
    <s v="Bota Serraje S1+P+Ci+Src Metalico Gris 35. Fabricado En Piel Serraje. Puntera De Acero. Plantilla Acero. Suela De Pu/Pu Doble Densidad"/>
    <n v="11.9"/>
    <x v="0"/>
    <x v="0"/>
    <s v="GRIS"/>
    <s v="PIEL SERRAJE"/>
    <s v="Acero"/>
    <s v="Acero"/>
    <s v="PU/PU DOBLE DENSIDAD"/>
    <n v="35"/>
    <n v="8457780313943"/>
    <s v="18457780313940"/>
    <s v="https://forli.es/basic-steel/291-2471-AUSTIN.html#/27-talla-35/41-color-gris"/>
    <s v="https://forli.es/index.php?controller=attachment&amp;id_attachment=129"/>
  </r>
  <r>
    <s v="FOR.AUSTIN"/>
    <x v="16"/>
    <s v="FOR.AUSTIN-94-36"/>
    <s v="BOTA SERRAJE S1+P+CI+SRC METALICO Gris 36"/>
    <s v="BOTA SERRAJE S1+P+CI+SRC METALICO Gris 36. FABRICADO EN PIEL SERRAJE. PUNTERA DE Acero. PLANTILLA Acero. SUELA DE PU/PU DOBLE DENSIDAD"/>
    <s v="Bota Serraje S1+P+Ci+Src Metalico Gris 36. Fabricado En Piel Serraje. Puntera De Acero. Plantilla Acero. Suela De Pu/Pu Doble Densidad"/>
    <n v="11.9"/>
    <x v="0"/>
    <x v="0"/>
    <s v="GRIS"/>
    <s v="PIEL SERRAJE"/>
    <s v="Acero"/>
    <s v="Acero"/>
    <s v="PU/PU DOBLE DENSIDAD"/>
    <n v="36"/>
    <n v="8457780313950"/>
    <s v="18457780313957"/>
    <s v="https://forli.es/basic-steel/291-2471-AUSTIN.html#/27-talla-35/41-color-gris"/>
    <s v="https://forli.es/index.php?controller=attachment&amp;id_attachment=129"/>
  </r>
  <r>
    <s v="FOR.AUSTIN"/>
    <x v="16"/>
    <s v="FOR.AUSTIN-94-37"/>
    <s v="BOTA SERRAJE S1+P+CI+SRC METALICO Gris 37"/>
    <s v="BOTA SERRAJE S1+P+CI+SRC METALICO Gris 37. FABRICADO EN PIEL SERRAJE. PUNTERA DE Acero. PLANTILLA Acero. SUELA DE PU/PU DOBLE DENSIDAD"/>
    <s v="Bota Serraje S1+P+Ci+Src Metalico Gris 37. Fabricado En Piel Serraje. Puntera De Acero. Plantilla Acero. Suela De Pu/Pu Doble Densidad"/>
    <n v="11.9"/>
    <x v="0"/>
    <x v="0"/>
    <s v="GRIS"/>
    <s v="PIEL SERRAJE"/>
    <s v="Acero"/>
    <s v="Acero"/>
    <s v="PU/PU DOBLE DENSIDAD"/>
    <n v="37"/>
    <n v="8457780313967"/>
    <s v="18457780313964"/>
    <s v="https://forli.es/basic-steel/291-2471-AUSTIN.html#/27-talla-35/41-color-gris"/>
    <s v="https://forli.es/index.php?controller=attachment&amp;id_attachment=129"/>
  </r>
  <r>
    <s v="FOR.AUSTIN"/>
    <x v="16"/>
    <s v="FOR.AUSTIN-94-38"/>
    <s v="BOTA SERRAJE S1+P+CI+SRC METALICO Gris 38"/>
    <s v="BOTA SERRAJE S1+P+CI+SRC METALICO Gris 38. FABRICADO EN PIEL SERRAJE. PUNTERA DE Acero. PLANTILLA Acero. SUELA DE PU/PU DOBLE DENSIDAD"/>
    <s v="Bota Serraje S1+P+Ci+Src Metalico Gris 38. Fabricado En Piel Serraje. Puntera De Acero. Plantilla Acero. Suela De Pu/Pu Doble Densidad"/>
    <n v="11.9"/>
    <x v="0"/>
    <x v="0"/>
    <s v="GRIS"/>
    <s v="PIEL SERRAJE"/>
    <s v="Acero"/>
    <s v="Acero"/>
    <s v="PU/PU DOBLE DENSIDAD"/>
    <n v="38"/>
    <n v="8457780313974"/>
    <s v="18457780313971"/>
    <s v="https://forli.es/basic-steel/291-2471-AUSTIN.html#/27-talla-35/41-color-gris"/>
    <s v="https://forli.es/index.php?controller=attachment&amp;id_attachment=129"/>
  </r>
  <r>
    <s v="FOR.AUSTIN"/>
    <x v="16"/>
    <s v="FOR.AUSTIN-94-39"/>
    <s v="BOTA SERRAJE S1+P+CI+SRC METALICO Gris 39"/>
    <s v="BOTA SERRAJE S1+P+CI+SRC METALICO Gris 39. FABRICADO EN PIEL SERRAJE. PUNTERA DE Acero. PLANTILLA Acero. SUELA DE PU/PU DOBLE DENSIDAD"/>
    <s v="Bota Serraje S1+P+Ci+Src Metalico Gris 39. Fabricado En Piel Serraje. Puntera De Acero. Plantilla Acero. Suela De Pu/Pu Doble Densidad"/>
    <n v="11.9"/>
    <x v="0"/>
    <x v="0"/>
    <s v="GRIS"/>
    <s v="PIEL SERRAJE"/>
    <s v="Acero"/>
    <s v="Acero"/>
    <s v="PU/PU DOBLE DENSIDAD"/>
    <n v="39"/>
    <n v="8457780313981"/>
    <s v="18457780313988"/>
    <s v="https://forli.es/basic-steel/291-2471-AUSTIN.html#/27-talla-35/41-color-gris"/>
    <s v="https://forli.es/index.php?controller=attachment&amp;id_attachment=129"/>
  </r>
  <r>
    <s v="FOR.AUSTIN"/>
    <x v="16"/>
    <s v="FOR.AUSTIN-94-40"/>
    <s v="BOTA SERRAJE S1+P+CI+SRC METALICO Gris 40"/>
    <s v="BOTA SERRAJE S1+P+CI+SRC METALICO Gris 40. FABRICADO EN PIEL SERRAJE. PUNTERA DE Acero. PLANTILLA Acero. SUELA DE PU/PU DOBLE DENSIDAD"/>
    <s v="Bota Serraje S1+P+Ci+Src Metalico Gris 40. Fabricado En Piel Serraje. Puntera De Acero. Plantilla Acero. Suela De Pu/Pu Doble Densidad"/>
    <n v="11.9"/>
    <x v="0"/>
    <x v="0"/>
    <s v="GRIS"/>
    <s v="PIEL SERRAJE"/>
    <s v="Acero"/>
    <s v="Acero"/>
    <s v="PU/PU DOBLE DENSIDAD"/>
    <n v="40"/>
    <n v="8457780313998"/>
    <s v="18457780313995"/>
    <s v="https://forli.es/basic-steel/291-2471-AUSTIN.html#/27-talla-35/41-color-gris"/>
    <s v="https://forli.es/index.php?controller=attachment&amp;id_attachment=129"/>
  </r>
  <r>
    <s v="FOR.AUSTIN"/>
    <x v="16"/>
    <s v="FOR.AUSTIN-94-41"/>
    <s v="BOTA SERRAJE S1+P+CI+SRC METALICO Gris 41"/>
    <s v="BOTA SERRAJE S1+P+CI+SRC METALICO Gris 41. FABRICADO EN PIEL SERRAJE. PUNTERA DE Acero. PLANTILLA Acero. SUELA DE PU/PU DOBLE DENSIDAD"/>
    <s v="Bota Serraje S1+P+Ci+Src Metalico Gris 41. Fabricado En Piel Serraje. Puntera De Acero. Plantilla Acero. Suela De Pu/Pu Doble Densidad"/>
    <n v="11.9"/>
    <x v="0"/>
    <x v="0"/>
    <s v="GRIS"/>
    <s v="PIEL SERRAJE"/>
    <s v="Acero"/>
    <s v="Acero"/>
    <s v="PU/PU DOBLE DENSIDAD"/>
    <n v="41"/>
    <n v="8457780314001"/>
    <s v="18457780314008"/>
    <s v="https://forli.es/basic-steel/291-2471-AUSTIN.html#/27-talla-35/41-color-gris"/>
    <s v="https://forli.es/index.php?controller=attachment&amp;id_attachment=129"/>
  </r>
  <r>
    <s v="FOR.AUSTIN"/>
    <x v="16"/>
    <s v="FOR.AUSTIN-94-42"/>
    <s v="BOTA SERRAJE S1+P+CI+SRC METALICO Gris 42"/>
    <s v="BOTA SERRAJE S1+P+CI+SRC METALICO Gris 42. FABRICADO EN PIEL SERRAJE. PUNTERA DE Acero. PLANTILLA Acero. SUELA DE PU/PU DOBLE DENSIDAD"/>
    <s v="Bota Serraje S1+P+Ci+Src Metalico Gris 42. Fabricado En Piel Serraje. Puntera De Acero. Plantilla Acero. Suela De Pu/Pu Doble Densidad"/>
    <n v="11.9"/>
    <x v="0"/>
    <x v="0"/>
    <s v="GRIS"/>
    <s v="PIEL SERRAJE"/>
    <s v="Acero"/>
    <s v="Acero"/>
    <s v="PU/PU DOBLE DENSIDAD"/>
    <n v="42"/>
    <n v="8457780314018"/>
    <s v="18457780314015"/>
    <s v="https://forli.es/basic-steel/291-2471-AUSTIN.html#/27-talla-35/41-color-gris"/>
    <s v="https://forli.es/index.php?controller=attachment&amp;id_attachment=129"/>
  </r>
  <r>
    <s v="FOR.AUSTIN"/>
    <x v="16"/>
    <s v="FOR.AUSTIN-94-43"/>
    <s v="BOTA SERRAJE S1+P+CI+SRC METALICO Gris 43"/>
    <s v="BOTA SERRAJE S1+P+CI+SRC METALICO Gris 43. FABRICADO EN PIEL SERRAJE. PUNTERA DE Acero. PLANTILLA Acero. SUELA DE PU/PU DOBLE DENSIDAD"/>
    <s v="Bota Serraje S1+P+Ci+Src Metalico Gris 43. Fabricado En Piel Serraje. Puntera De Acero. Plantilla Acero. Suela De Pu/Pu Doble Densidad"/>
    <n v="11.9"/>
    <x v="0"/>
    <x v="0"/>
    <s v="GRIS"/>
    <s v="PIEL SERRAJE"/>
    <s v="Acero"/>
    <s v="Acero"/>
    <s v="PU/PU DOBLE DENSIDAD"/>
    <n v="43"/>
    <n v="8457780314025"/>
    <s v="18457780314022"/>
    <s v="https://forli.es/basic-steel/291-2471-AUSTIN.html#/27-talla-35/41-color-gris"/>
    <s v="https://forli.es/index.php?controller=attachment&amp;id_attachment=129"/>
  </r>
  <r>
    <s v="FOR.AUSTIN"/>
    <x v="16"/>
    <s v="FOR.AUSTIN-94-44"/>
    <s v="BOTA SERRAJE S1+P+CI+SRC METALICO Gris 44"/>
    <s v="BOTA SERRAJE S1+P+CI+SRC METALICO Gris 44. FABRICADO EN PIEL SERRAJE. PUNTERA DE Acero. PLANTILLA Acero. SUELA DE PU/PU DOBLE DENSIDAD"/>
    <s v="Bota Serraje S1+P+Ci+Src Metalico Gris 44. Fabricado En Piel Serraje. Puntera De Acero. Plantilla Acero. Suela De Pu/Pu Doble Densidad"/>
    <n v="11.9"/>
    <x v="0"/>
    <x v="0"/>
    <s v="GRIS"/>
    <s v="PIEL SERRAJE"/>
    <s v="Acero"/>
    <s v="Acero"/>
    <s v="PU/PU DOBLE DENSIDAD"/>
    <n v="44"/>
    <n v="8457780314032"/>
    <s v="18457780314039"/>
    <s v="https://forli.es/basic-steel/291-2471-AUSTIN.html#/27-talla-35/41-color-gris"/>
    <s v="https://forli.es/index.php?controller=attachment&amp;id_attachment=129"/>
  </r>
  <r>
    <s v="FOR.AUSTIN"/>
    <x v="16"/>
    <s v="FOR.AUSTIN-94-45"/>
    <s v="BOTA SERRAJE S1+P+CI+SRC METALICO Gris 45"/>
    <s v="BOTA SERRAJE S1+P+CI+SRC METALICO Gris 45. FABRICADO EN PIEL SERRAJE. PUNTERA DE Acero. PLANTILLA Acero. SUELA DE PU/PU DOBLE DENSIDAD"/>
    <s v="Bota Serraje S1+P+Ci+Src Metalico Gris 45. Fabricado En Piel Serraje. Puntera De Acero. Plantilla Acero. Suela De Pu/Pu Doble Densidad"/>
    <n v="11.9"/>
    <x v="0"/>
    <x v="0"/>
    <s v="GRIS"/>
    <s v="PIEL SERRAJE"/>
    <s v="Acero"/>
    <s v="Acero"/>
    <s v="PU/PU DOBLE DENSIDAD"/>
    <n v="45"/>
    <n v="8457780314049"/>
    <s v="18457780314046"/>
    <s v="https://forli.es/basic-steel/291-2471-AUSTIN.html#/27-talla-35/41-color-gris"/>
    <s v="https://forli.es/index.php?controller=attachment&amp;id_attachment=129"/>
  </r>
  <r>
    <s v="FOR.AUSTIN"/>
    <x v="16"/>
    <s v="FOR.AUSTIN-94-46"/>
    <s v="BOTA SERRAJE S1+P+CI+SRC METALICO Gris 46"/>
    <s v="BOTA SERRAJE S1+P+CI+SRC METALICO Gris 46. FABRICADO EN PIEL SERRAJE. PUNTERA DE Acero. PLANTILLA Acero. SUELA DE PU/PU DOBLE DENSIDAD"/>
    <s v="Bota Serraje S1+P+Ci+Src Metalico Gris 46. Fabricado En Piel Serraje. Puntera De Acero. Plantilla Acero. Suela De Pu/Pu Doble Densidad"/>
    <n v="11.9"/>
    <x v="0"/>
    <x v="0"/>
    <s v="GRIS"/>
    <s v="PIEL SERRAJE"/>
    <s v="Acero"/>
    <s v="Acero"/>
    <s v="PU/PU DOBLE DENSIDAD"/>
    <n v="46"/>
    <n v="8457780314056"/>
    <s v="18457780314053"/>
    <s v="https://forli.es/basic-steel/291-2471-AUSTIN.html#/27-talla-35/41-color-gris"/>
    <s v="https://forli.es/index.php?controller=attachment&amp;id_attachment=129"/>
  </r>
  <r>
    <s v="FOR.AUSTIN"/>
    <x v="16"/>
    <s v="FOR.AUSTIN-94-47"/>
    <s v="BOTA SERRAJE S1+P+CI+SRC METALICO Gris 47"/>
    <s v="BOTA SERRAJE S1+P+CI+SRC METALICO Gris 47. FABRICADO EN PIEL SERRAJE. PUNTERA DE Acero. PLANTILLA Acero. SUELA DE PU/PU DOBLE DENSIDAD"/>
    <s v="Bota Serraje S1+P+Ci+Src Metalico Gris 47. Fabricado En Piel Serraje. Puntera De Acero. Plantilla Acero. Suela De Pu/Pu Doble Densidad"/>
    <n v="11.9"/>
    <x v="0"/>
    <x v="0"/>
    <s v="GRIS"/>
    <s v="PIEL SERRAJE"/>
    <s v="Acero"/>
    <s v="Acero"/>
    <s v="PU/PU DOBLE DENSIDAD"/>
    <n v="47"/>
    <n v="8457780314063"/>
    <s v="18457780314060"/>
    <s v="https://forli.es/basic-steel/291-2471-AUSTIN.html#/27-talla-35/41-color-gris"/>
    <s v="https://forli.es/index.php?controller=attachment&amp;id_attachment=129"/>
  </r>
  <r>
    <s v="FOR.AUSTIN"/>
    <x v="16"/>
    <s v="FOR.AUSTIN-94-48"/>
    <s v="BOTA SERRAJE S1+P+CI+SRC METALICO Gris 48"/>
    <s v="BOTA SERRAJE S1+P+CI+SRC METALICO Gris 48. FABRICADO EN PIEL SERRAJE. PUNTERA DE Acero. PLANTILLA Acero. SUELA DE PU/PU DOBLE DENSIDAD"/>
    <s v="Bota Serraje S1+P+Ci+Src Metalico Gris 48. Fabricado En Piel Serraje. Puntera De Acero. Plantilla Acero. Suela De Pu/Pu Doble Densidad"/>
    <n v="11.9"/>
    <x v="0"/>
    <x v="0"/>
    <s v="GRIS"/>
    <s v="PIEL SERRAJE"/>
    <s v="Acero"/>
    <s v="Acero"/>
    <s v="PU/PU DOBLE DENSIDAD"/>
    <n v="48"/>
    <n v="8457780314070"/>
    <s v="18457780314077"/>
    <s v="https://forli.es/basic-steel/291-2471-AUSTIN.html#/27-talla-35/41-color-gris"/>
    <s v="https://forli.es/index.php?controller=attachment&amp;id_attachment=129"/>
  </r>
  <r>
    <s v="FOR.DETROIT"/>
    <x v="17"/>
    <s v="FOR.DETROIT-99-36"/>
    <s v="BOTA SOLDADOR PIEL S3+CI+HI+FO+SR Negra 36"/>
    <s v="BOTA SOLDADOR PIEL S3+CI+HI+FO+SR Negra 36. FABRICADO EN PIEL GRABADA. PUNTERA DE Acero. PLANTILLA Acero. SUELA DE PU/PU DOBLE DENSIDAD"/>
    <s v="Bota Soldador Piel S3+Ci+Hi+Fo+Sr Negra 36. Fabricado En Piel Grabada. Puntera De Acero. Plantilla Acero. Suela De Pu/Pu Doble Densidad"/>
    <n v="10.9"/>
    <x v="0"/>
    <x v="0"/>
    <s v="NEGRO"/>
    <s v="PIEL GRABADA"/>
    <s v="Acero"/>
    <s v="Acero"/>
    <s v="PU/PU DOBLE DENSIDAD"/>
    <n v="36"/>
    <n v="8457780268007"/>
    <s v="18457780268004"/>
    <s v="https://forli.es/basic-steel/277-2289-DETROIT.html#/28-talla-36/42-color-negro_black"/>
    <s v="https://forli.es/index.php?controller=attachment&amp;id_attachment=131"/>
  </r>
  <r>
    <s v="FOR.DETROIT"/>
    <x v="17"/>
    <s v="FOR.DETROIT-99-37"/>
    <s v="BOTA SOLDADOR PIEL S3+CI+HI+FO+SR Negra 37"/>
    <s v="BOTA SOLDADOR PIEL S3+CI+HI+FO+SR Negra 37. FABRICADO EN PIEL GRABADA. PUNTERA DE Acero. PLANTILLA Acero. SUELA DE PU/PU DOBLE DENSIDAD"/>
    <s v="Bota Soldador Piel S3+Ci+Hi+Fo+Sr Negra 37. Fabricado En Piel Grabada. Puntera De Acero. Plantilla Acero. Suela De Pu/Pu Doble Densidad"/>
    <n v="10.9"/>
    <x v="0"/>
    <x v="0"/>
    <s v="NEGRO"/>
    <s v="PIEL GRABADA"/>
    <s v="Acero"/>
    <s v="Acero"/>
    <s v="PU/PU DOBLE DENSIDAD"/>
    <n v="37"/>
    <n v="8457780268014"/>
    <s v="18457780268011"/>
    <s v="https://forli.es/basic-steel/277-2289-DETROIT.html#/28-talla-36/42-color-negro_black"/>
    <s v="https://forli.es/index.php?controller=attachment&amp;id_attachment=131"/>
  </r>
  <r>
    <s v="FOR.DETROIT"/>
    <x v="17"/>
    <s v="FOR.DETROIT-99-38"/>
    <s v="BOTA SOLDADOR PIEL S3+CI+HI+FO+SR Negra 38"/>
    <s v="BOTA SOLDADOR PIEL S3+CI+HI+FO+SR Negra 38. FABRICADO EN PIEL GRABADA. PUNTERA DE Acero. PLANTILLA Acero. SUELA DE PU/PU DOBLE DENSIDAD"/>
    <s v="Bota Soldador Piel S3+Ci+Hi+Fo+Sr Negra 38. Fabricado En Piel Grabada. Puntera De Acero. Plantilla Acero. Suela De Pu/Pu Doble Densidad"/>
    <n v="10.9"/>
    <x v="0"/>
    <x v="0"/>
    <s v="NEGRO"/>
    <s v="PIEL GRABADA"/>
    <s v="Acero"/>
    <s v="Acero"/>
    <s v="PU/PU DOBLE DENSIDAD"/>
    <n v="38"/>
    <n v="8457780268021"/>
    <s v="18457780268028"/>
    <s v="https://forli.es/basic-steel/277-2289-DETROIT.html#/28-talla-36/42-color-negro_black"/>
    <s v="https://forli.es/index.php?controller=attachment&amp;id_attachment=131"/>
  </r>
  <r>
    <s v="FOR.DETROIT"/>
    <x v="17"/>
    <s v="FOR.DETROIT-99-39"/>
    <s v="BOTA SOLDADOR PIEL S3+CI+HI+FO+SR Negra 39"/>
    <s v="BOTA SOLDADOR PIEL S3+CI+HI+FO+SR Negra 39. FABRICADO EN PIEL GRABADA. PUNTERA DE Acero. PLANTILLA Acero. SUELA DE PU/PU DOBLE DENSIDAD"/>
    <s v="Bota Soldador Piel S3+Ci+Hi+Fo+Sr Negra 39. Fabricado En Piel Grabada. Puntera De Acero. Plantilla Acero. Suela De Pu/Pu Doble Densidad"/>
    <n v="10.9"/>
    <x v="0"/>
    <x v="0"/>
    <s v="NEGRO"/>
    <s v="PIEL GRABADA"/>
    <s v="Acero"/>
    <s v="Acero"/>
    <s v="PU/PU DOBLE DENSIDAD"/>
    <n v="39"/>
    <n v="8457780268038"/>
    <s v="18457780268035"/>
    <s v="https://forli.es/basic-steel/277-2289-DETROIT.html#/28-talla-36/42-color-negro_black"/>
    <s v="https://forli.es/index.php?controller=attachment&amp;id_attachment=131"/>
  </r>
  <r>
    <s v="FOR.DETROIT"/>
    <x v="17"/>
    <s v="FOR.DETROIT-99-40"/>
    <s v="BOTA SOLDADOR PIEL S3+CI+HI+FO+SR Negra 40"/>
    <s v="BOTA SOLDADOR PIEL S3+CI+HI+FO+SR Negra 40. FABRICADO EN PIEL GRABADA. PUNTERA DE Acero. PLANTILLA Acero. SUELA DE PU/PU DOBLE DENSIDAD"/>
    <s v="Bota Soldador Piel S3+Ci+Hi+Fo+Sr Negra 40. Fabricado En Piel Grabada. Puntera De Acero. Plantilla Acero. Suela De Pu/Pu Doble Densidad"/>
    <n v="10.9"/>
    <x v="0"/>
    <x v="0"/>
    <s v="NEGRO"/>
    <s v="PIEL GRABADA"/>
    <s v="Acero"/>
    <s v="Acero"/>
    <s v="PU/PU DOBLE DENSIDAD"/>
    <n v="40"/>
    <n v="8457780268045"/>
    <s v="18457780268042"/>
    <s v="https://forli.es/basic-steel/277-2289-DETROIT.html#/28-talla-36/42-color-negro_black"/>
    <s v="https://forli.es/index.php?controller=attachment&amp;id_attachment=131"/>
  </r>
  <r>
    <s v="FOR.DETROIT"/>
    <x v="17"/>
    <s v="FOR.DETROIT-99-41"/>
    <s v="BOTA SOLDADOR PIEL S3+CI+HI+FO+SR Negra 41"/>
    <s v="BOTA SOLDADOR PIEL S3+CI+HI+FO+SR Negra 41. FABRICADO EN PIEL GRABADA. PUNTERA DE Acero. PLANTILLA Acero. SUELA DE PU/PU DOBLE DENSIDAD"/>
    <s v="Bota Soldador Piel S3+Ci+Hi+Fo+Sr Negra 41. Fabricado En Piel Grabada. Puntera De Acero. Plantilla Acero. Suela De Pu/Pu Doble Densidad"/>
    <n v="10.9"/>
    <x v="0"/>
    <x v="0"/>
    <s v="NEGRO"/>
    <s v="PIEL GRABADA"/>
    <s v="Acero"/>
    <s v="Acero"/>
    <s v="PU/PU DOBLE DENSIDAD"/>
    <n v="41"/>
    <n v="8457780268052"/>
    <s v="18457780268059"/>
    <s v="https://forli.es/basic-steel/277-2289-DETROIT.html#/28-talla-36/42-color-negro_black"/>
    <s v="https://forli.es/index.php?controller=attachment&amp;id_attachment=131"/>
  </r>
  <r>
    <s v="FOR.DETROIT"/>
    <x v="17"/>
    <s v="FOR.DETROIT-99-42"/>
    <s v="BOTA SOLDADOR PIEL S3+CI+HI+FO+SR Negra 42"/>
    <s v="BOTA SOLDADOR PIEL S3+CI+HI+FO+SR Negra 42. FABRICADO EN PIEL GRABADA. PUNTERA DE Acero. PLANTILLA Acero. SUELA DE PU/PU DOBLE DENSIDAD"/>
    <s v="Bota Soldador Piel S3+Ci+Hi+Fo+Sr Negra 42. Fabricado En Piel Grabada. Puntera De Acero. Plantilla Acero. Suela De Pu/Pu Doble Densidad"/>
    <n v="10.9"/>
    <x v="0"/>
    <x v="0"/>
    <s v="NEGRO"/>
    <s v="PIEL GRABADA"/>
    <s v="Acero"/>
    <s v="Acero"/>
    <s v="PU/PU DOBLE DENSIDAD"/>
    <n v="42"/>
    <n v="8457780268069"/>
    <s v="18457780268066"/>
    <s v="https://forli.es/basic-steel/277-2289-DETROIT.html#/28-talla-36/42-color-negro_black"/>
    <s v="https://forli.es/index.php?controller=attachment&amp;id_attachment=131"/>
  </r>
  <r>
    <s v="FOR.DETROIT"/>
    <x v="17"/>
    <s v="FOR.DETROIT-99-43"/>
    <s v="BOTA SOLDADOR PIEL S3+CI+HI+FO+SR Negra 43"/>
    <s v="BOTA SOLDADOR PIEL S3+CI+HI+FO+SR Negra 43. FABRICADO EN PIEL GRABADA. PUNTERA DE Acero. PLANTILLA Acero. SUELA DE PU/PU DOBLE DENSIDAD"/>
    <s v="Bota Soldador Piel S3+Ci+Hi+Fo+Sr Negra 43. Fabricado En Piel Grabada. Puntera De Acero. Plantilla Acero. Suela De Pu/Pu Doble Densidad"/>
    <n v="10.9"/>
    <x v="0"/>
    <x v="0"/>
    <s v="NEGRO"/>
    <s v="PIEL GRABADA"/>
    <s v="Acero"/>
    <s v="Acero"/>
    <s v="PU/PU DOBLE DENSIDAD"/>
    <n v="43"/>
    <n v="8457780268076"/>
    <s v="18457780268073"/>
    <s v="https://forli.es/basic-steel/277-2289-DETROIT.html#/28-talla-36/42-color-negro_black"/>
    <s v="https://forli.es/index.php?controller=attachment&amp;id_attachment=131"/>
  </r>
  <r>
    <s v="FOR.DETROIT"/>
    <x v="17"/>
    <s v="FOR.DETROIT-99-44"/>
    <s v="BOTA SOLDADOR PIEL S3+CI+HI+FO+SR Negra 44"/>
    <s v="BOTA SOLDADOR PIEL S3+CI+HI+FO+SR Negra 44. FABRICADO EN PIEL GRABADA. PUNTERA DE Acero. PLANTILLA Acero. SUELA DE PU/PU DOBLE DENSIDAD"/>
    <s v="Bota Soldador Piel S3+Ci+Hi+Fo+Sr Negra 44. Fabricado En Piel Grabada. Puntera De Acero. Plantilla Acero. Suela De Pu/Pu Doble Densidad"/>
    <n v="10.9"/>
    <x v="0"/>
    <x v="0"/>
    <s v="NEGRO"/>
    <s v="PIEL GRABADA"/>
    <s v="Acero"/>
    <s v="Acero"/>
    <s v="PU/PU DOBLE DENSIDAD"/>
    <n v="44"/>
    <n v="8457780268083"/>
    <s v="18457780268080"/>
    <s v="https://forli.es/basic-steel/277-2289-DETROIT.html#/28-talla-36/42-color-negro_black"/>
    <s v="https://forli.es/index.php?controller=attachment&amp;id_attachment=131"/>
  </r>
  <r>
    <s v="FOR.DETROIT"/>
    <x v="17"/>
    <s v="FOR.DETROIT-99-45"/>
    <s v="BOTA SOLDADOR PIEL S3+CI+HI+FO+SR Negra 45"/>
    <s v="BOTA SOLDADOR PIEL S3+CI+HI+FO+SR Negra 45. FABRICADO EN PIEL GRABADA. PUNTERA DE Acero. PLANTILLA Acero. SUELA DE PU/PU DOBLE DENSIDAD"/>
    <s v="Bota Soldador Piel S3+Ci+Hi+Fo+Sr Negra 45. Fabricado En Piel Grabada. Puntera De Acero. Plantilla Acero. Suela De Pu/Pu Doble Densidad"/>
    <n v="10.9"/>
    <x v="0"/>
    <x v="0"/>
    <s v="NEGRO"/>
    <s v="PIEL GRABADA"/>
    <s v="Acero"/>
    <s v="Acero"/>
    <s v="PU/PU DOBLE DENSIDAD"/>
    <n v="45"/>
    <n v="8457780268090"/>
    <s v="18457780268097"/>
    <s v="https://forli.es/basic-steel/277-2289-DETROIT.html#/28-talla-36/42-color-negro_black"/>
    <s v="https://forli.es/index.php?controller=attachment&amp;id_attachment=131"/>
  </r>
  <r>
    <s v="FOR.DETROIT"/>
    <x v="17"/>
    <s v="FOR.DETROIT-99-46"/>
    <s v="BOTA SOLDADOR PIEL S3+CI+HI+FO+SR Negra 46"/>
    <s v="BOTA SOLDADOR PIEL S3+CI+HI+FO+SR Negra 46. FABRICADO EN PIEL GRABADA. PUNTERA DE Acero. PLANTILLA Acero. SUELA DE PU/PU DOBLE DENSIDAD"/>
    <s v="Bota Soldador Piel S3+Ci+Hi+Fo+Sr Negra 46. Fabricado En Piel Grabada. Puntera De Acero. Plantilla Acero. Suela De Pu/Pu Doble Densidad"/>
    <n v="10.9"/>
    <x v="0"/>
    <x v="0"/>
    <s v="NEGRO"/>
    <s v="PIEL GRABADA"/>
    <s v="Acero"/>
    <s v="Acero"/>
    <s v="PU/PU DOBLE DENSIDAD"/>
    <n v="46"/>
    <n v="8457780268106"/>
    <s v="18457780268103"/>
    <s v="https://forli.es/basic-steel/277-2289-DETROIT.html#/28-talla-36/42-color-negro_black"/>
    <s v="https://forli.es/index.php?controller=attachment&amp;id_attachment=131"/>
  </r>
  <r>
    <s v="FOR.DETROIT"/>
    <x v="17"/>
    <s v="FOR.DETROIT-99-47"/>
    <s v="BOTA SOLDADOR PIEL S3+CI+HI+FO+SR Negra 47"/>
    <s v="BOTA SOLDADOR PIEL S3+CI+HI+FO+SR Negra 47. FABRICADO EN PIEL GRABADA. PUNTERA DE Acero. PLANTILLA Acero. SUELA DE PU/PU DOBLE DENSIDAD"/>
    <s v="Bota Soldador Piel S3+Ci+Hi+Fo+Sr Negra 47. Fabricado En Piel Grabada. Puntera De Acero. Plantilla Acero. Suela De Pu/Pu Doble Densidad"/>
    <n v="10.9"/>
    <x v="0"/>
    <x v="0"/>
    <s v="NEGRO"/>
    <s v="PIEL GRABADA"/>
    <s v="Acero"/>
    <s v="Acero"/>
    <s v="PU/PU DOBLE DENSIDAD"/>
    <n v="47"/>
    <n v="8457780268113"/>
    <s v="18457780268110"/>
    <s v="https://forli.es/basic-steel/277-2289-DETROIT.html#/28-talla-36/42-color-negro_black"/>
    <s v="https://forli.es/index.php?controller=attachment&amp;id_attachment=131"/>
  </r>
  <r>
    <s v="FOR.OREGON"/>
    <x v="18"/>
    <s v="FOR.OREGON-99-35"/>
    <s v="BOTA SOLDADOR S3S+CI+HI+FO+SR METAL FREE Negro 35"/>
    <s v="BOTA SOLDADOR S3S+CI+HI+FO+SR METAL FREE Negro 35. FABRICADO EN PIEL GRABADA. PUNTERA DE Fibra de vidrio. PLANTILLA Antiperforación textil. SUELA DE PU/PU DOBLE DENSIDAD"/>
    <s v="Bota Soldador S3S+Ci+Hi+Fo+Sr Metal Free Negro 35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35"/>
    <n v="8457780330551"/>
    <s v="18457780330558"/>
    <s v="https://forli.es/basic-metal-free/367-10970-OREGON.html#/27-talla-35/42-color-negro_black"/>
    <s v="https://forli.es/index.php?controller=attachment&amp;id_attachment=223"/>
  </r>
  <r>
    <s v="FOR.OREGON"/>
    <x v="18"/>
    <s v="FOR.OREGON-99-36"/>
    <s v="BOTA SOLDADOR S3S+CI+HI+FO+SR METAL FREE Negro 36"/>
    <s v="BOTA SOLDADOR S3S+CI+HI+FO+SR METAL FREE Negro 36. FABRICADO EN PIEL GRABADA. PUNTERA DE Fibra de vidrio. PLANTILLA Antiperforación textil. SUELA DE PU/PU DOBLE DENSIDAD"/>
    <s v="Bota Soldador S3S+Ci+Hi+Fo+Sr Metal Free Negro 36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36"/>
    <n v="8457780330568"/>
    <s v="18457780330565"/>
    <s v="https://forli.es/basic-metal-free/367-10970-OREGON.html#/27-talla-35/42-color-negro_black"/>
    <s v="https://forli.es/index.php?controller=attachment&amp;id_attachment=223"/>
  </r>
  <r>
    <s v="FOR.OREGON"/>
    <x v="18"/>
    <s v="FOR.OREGON-99-37"/>
    <s v="BOTA SOLDADOR S3S+CI+HI+FO+SR METAL FREE Negro 37"/>
    <s v="BOTA SOLDADOR S3S+CI+HI+FO+SR METAL FREE Negro 37. FABRICADO EN PIEL GRABADA. PUNTERA DE Fibra de vidrio. PLANTILLA Antiperforación textil. SUELA DE PU/PU DOBLE DENSIDAD"/>
    <s v="Bota Soldador S3S+Ci+Hi+Fo+Sr Metal Free Negro 37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37"/>
    <n v="8457780330575"/>
    <s v="18457780330572"/>
    <s v="https://forli.es/basic-metal-free/367-10970-OREGON.html#/27-talla-35/42-color-negro_black"/>
    <s v="https://forli.es/index.php?controller=attachment&amp;id_attachment=223"/>
  </r>
  <r>
    <s v="FOR.OREGON"/>
    <x v="18"/>
    <s v="FOR.OREGON-99-38"/>
    <s v="BOTA SOLDADOR S3S+CI+HI+FO+SR METAL FREE Negro 38"/>
    <s v="BOTA SOLDADOR S3S+CI+HI+FO+SR METAL FREE Negro 38. FABRICADO EN PIEL GRABADA. PUNTERA DE Fibra de vidrio. PLANTILLA Antiperforación textil. SUELA DE PU/PU DOBLE DENSIDAD"/>
    <s v="Bota Soldador S3S+Ci+Hi+Fo+Sr Metal Free Negro 38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38"/>
    <n v="8457780330582"/>
    <s v="18457780330589"/>
    <s v="https://forli.es/basic-metal-free/367-10970-OREGON.html#/27-talla-35/42-color-negro_black"/>
    <s v="https://forli.es/index.php?controller=attachment&amp;id_attachment=223"/>
  </r>
  <r>
    <s v="FOR.OREGON"/>
    <x v="18"/>
    <s v="FOR.OREGON-99-39"/>
    <s v="BOTA SOLDADOR S3S+CI+HI+FO+SR METAL FREE Negro 39"/>
    <s v="BOTA SOLDADOR S3S+CI+HI+FO+SR METAL FREE Negro 39. FABRICADO EN PIEL GRABADA. PUNTERA DE Fibra de vidrio. PLANTILLA Antiperforación textil. SUELA DE PU/PU DOBLE DENSIDAD"/>
    <s v="Bota Soldador S3S+Ci+Hi+Fo+Sr Metal Free Negro 39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39"/>
    <n v="8457780330599"/>
    <s v="18457780330596"/>
    <s v="https://forli.es/basic-metal-free/367-10970-OREGON.html#/27-talla-35/42-color-negro_black"/>
    <s v="https://forli.es/index.php?controller=attachment&amp;id_attachment=223"/>
  </r>
  <r>
    <s v="FOR.OREGON"/>
    <x v="18"/>
    <s v="FOR.OREGON-99-40"/>
    <s v="BOTA SOLDADOR S3S+CI+HI+FO+SR METAL FREE Negro 40"/>
    <s v="BOTA SOLDADOR S3S+CI+HI+FO+SR METAL FREE Negro 40. FABRICADO EN PIEL GRABADA. PUNTERA DE Fibra de vidrio. PLANTILLA Antiperforación textil. SUELA DE PU/PU DOBLE DENSIDAD"/>
    <s v="Bota Soldador S3S+Ci+Hi+Fo+Sr Metal Free Negro 40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0"/>
    <n v="8457780330605"/>
    <s v="18457780330602"/>
    <s v="https://forli.es/basic-metal-free/367-10970-OREGON.html#/27-talla-35/42-color-negro_black"/>
    <s v="https://forli.es/index.php?controller=attachment&amp;id_attachment=223"/>
  </r>
  <r>
    <s v="FOR.OREGON"/>
    <x v="18"/>
    <s v="FOR.OREGON-99-41"/>
    <s v="BOTA SOLDADOR S3S+CI+HI+FO+SR METAL FREE Negro 41"/>
    <s v="BOTA SOLDADOR S3S+CI+HI+FO+SR METAL FREE Negro 41. FABRICADO EN PIEL GRABADA. PUNTERA DE Fibra de vidrio. PLANTILLA Antiperforación textil. SUELA DE PU/PU DOBLE DENSIDAD"/>
    <s v="Bota Soldador S3S+Ci+Hi+Fo+Sr Metal Free Negro 41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1"/>
    <n v="8457780330612"/>
    <s v="18457780330619"/>
    <s v="https://forli.es/basic-metal-free/367-10970-OREGON.html#/27-talla-35/42-color-negro_black"/>
    <s v="https://forli.es/index.php?controller=attachment&amp;id_attachment=223"/>
  </r>
  <r>
    <s v="FOR.OREGON"/>
    <x v="18"/>
    <s v="FOR.OREGON-99-42"/>
    <s v="BOTA SOLDADOR S3S+CI+HI+FO+SR METAL FREE Negro 42"/>
    <s v="BOTA SOLDADOR S3S+CI+HI+FO+SR METAL FREE Negro 42. FABRICADO EN PIEL GRABADA. PUNTERA DE Fibra de vidrio. PLANTILLA Antiperforación textil. SUELA DE PU/PU DOBLE DENSIDAD"/>
    <s v="Bota Soldador S3S+Ci+Hi+Fo+Sr Metal Free Negro 42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2"/>
    <n v="8457780330629"/>
    <s v="18457780330626"/>
    <s v="https://forli.es/basic-metal-free/367-10970-OREGON.html#/27-talla-35/42-color-negro_black"/>
    <s v="https://forli.es/index.php?controller=attachment&amp;id_attachment=223"/>
  </r>
  <r>
    <s v="FOR.OREGON"/>
    <x v="18"/>
    <s v="FOR.OREGON-99-43"/>
    <s v="BOTA SOLDADOR S3S+CI+HI+FO+SR METAL FREE Negro 43"/>
    <s v="BOTA SOLDADOR S3S+CI+HI+FO+SR METAL FREE Negro 43. FABRICADO EN PIEL GRABADA. PUNTERA DE Fibra de vidrio. PLANTILLA Antiperforación textil. SUELA DE PU/PU DOBLE DENSIDAD"/>
    <s v="Bota Soldador S3S+Ci+Hi+Fo+Sr Metal Free Negro 43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3"/>
    <n v="8457780330636"/>
    <s v="18457780330633"/>
    <s v="https://forli.es/basic-metal-free/367-10970-OREGON.html#/27-talla-35/42-color-negro_black"/>
    <s v="https://forli.es/index.php?controller=attachment&amp;id_attachment=223"/>
  </r>
  <r>
    <s v="FOR.OREGON"/>
    <x v="18"/>
    <s v="FOR.OREGON-99-44"/>
    <s v="BOTA SOLDADOR S3S+CI+HI+FO+SR METAL FREE Negro 44"/>
    <s v="BOTA SOLDADOR S3S+CI+HI+FO+SR METAL FREE Negro 44. FABRICADO EN PIEL GRABADA. PUNTERA DE Fibra de vidrio. PLANTILLA Antiperforación textil. SUELA DE PU/PU DOBLE DENSIDAD"/>
    <s v="Bota Soldador S3S+Ci+Hi+Fo+Sr Metal Free Negro 44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4"/>
    <n v="8457780330643"/>
    <s v="18457780330640"/>
    <s v="https://forli.es/basic-metal-free/367-10970-OREGON.html#/27-talla-35/42-color-negro_black"/>
    <s v="https://forli.es/index.php?controller=attachment&amp;id_attachment=223"/>
  </r>
  <r>
    <s v="FOR.OREGON"/>
    <x v="18"/>
    <s v="FOR.OREGON-99-45"/>
    <s v="BOTA SOLDADOR S3S+CI+HI+FO+SR METAL FREE Negro 45"/>
    <s v="BOTA SOLDADOR S3S+CI+HI+FO+SR METAL FREE Negro 45. FABRICADO EN PIEL GRABADA. PUNTERA DE Fibra de vidrio. PLANTILLA Antiperforación textil. SUELA DE PU/PU DOBLE DENSIDAD"/>
    <s v="Bota Soldador S3S+Ci+Hi+Fo+Sr Metal Free Negro 45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5"/>
    <n v="8457780330650"/>
    <s v="18457780330657"/>
    <s v="https://forli.es/basic-metal-free/367-10970-OREGON.html#/27-talla-35/42-color-negro_black"/>
    <s v="https://forli.es/index.php?controller=attachment&amp;id_attachment=223"/>
  </r>
  <r>
    <s v="FOR.OREGON"/>
    <x v="18"/>
    <s v="FOR.OREGON-99-46"/>
    <s v="BOTA SOLDADOR S3S+CI+HI+FO+SR METAL FREE Negro 46"/>
    <s v="BOTA SOLDADOR S3S+CI+HI+FO+SR METAL FREE Negro 46. FABRICADO EN PIEL GRABADA. PUNTERA DE Fibra de vidrio. PLANTILLA Antiperforación textil. SUELA DE PU/PU DOBLE DENSIDAD"/>
    <s v="Bota Soldador S3S+Ci+Hi+Fo+Sr Metal Free Negro 46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6"/>
    <n v="8457780330667"/>
    <s v="18457780330664"/>
    <s v="https://forli.es/basic-metal-free/367-10970-OREGON.html#/27-talla-35/42-color-negro_black"/>
    <s v="https://forli.es/index.php?controller=attachment&amp;id_attachment=223"/>
  </r>
  <r>
    <s v="FOR.OREGON"/>
    <x v="18"/>
    <s v="FOR.OREGON-99-47"/>
    <s v="BOTA SOLDADOR S3S+CI+HI+FO+SR METAL FREE Negro 47"/>
    <s v="BOTA SOLDADOR S3S+CI+HI+FO+SR METAL FREE Negro 47. FABRICADO EN PIEL GRABADA. PUNTERA DE Fibra de vidrio. PLANTILLA Antiperforación textil. SUELA DE PU/PU DOBLE DENSIDAD"/>
    <s v="Bota Soldador S3S+Ci+Hi+Fo+Sr Metal Free Negro 47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7"/>
    <n v="8457780330674"/>
    <s v="18457780330671"/>
    <s v="https://forli.es/basic-metal-free/367-10970-OREGON.html#/27-talla-35/42-color-negro_black"/>
    <s v="https://forli.es/index.php?controller=attachment&amp;id_attachment=223"/>
  </r>
  <r>
    <s v="FOR.OREGON"/>
    <x v="18"/>
    <s v="FOR.OREGON-99-48"/>
    <s v="BOTA SOLDADOR S3S+CI+HI+FO+SR METAL FREE Negro 48"/>
    <s v="BOTA SOLDADOR S3S+CI+HI+FO+SR METAL FREE Negro 48. FABRICADO EN PIEL GRABADA. PUNTERA DE Fibra de vidrio. PLANTILLA Antiperforación textil. SUELA DE PU/PU DOBLE DENSIDAD"/>
    <s v="Bota Soldador S3S+Ci+Hi+Fo+Sr Metal Free Negro 48. Fabricado En Piel Grabada. Puntera De Fibra De Vidrio. Plantilla Antiperforación Textil. Suela De Pu/Pu Doble Densidad"/>
    <n v="15.5"/>
    <x v="0"/>
    <x v="0"/>
    <s v="NEGRO"/>
    <s v="PIEL GRABADA"/>
    <s v="Fibra de vidrio"/>
    <s v="Antiperforación textil"/>
    <s v="PU/PU DOBLE DENSIDAD"/>
    <n v="48"/>
    <n v="8457780330681"/>
    <s v="18457780330688"/>
    <s v="https://forli.es/basic-metal-free/367-10970-OREGON.html#/27-talla-35/42-color-negro_black"/>
    <s v="https://forli.es/index.php?controller=attachment&amp;id_attachment=223"/>
  </r>
  <r>
    <s v="FOR.CHEROKEEAZ"/>
    <x v="19"/>
    <s v="FOR.CHEROKEEAZ-78-35"/>
    <s v="ZAPATO CHEROKEEAZ S1+P+CI+SRC+ESD Marino  35"/>
    <s v="ZAPATO CHEROKEEAZ S1+P+CI+SRC+ESD Marino  35. FABRICADO EN PIEL SERRAJE + REJILLA. PUNTERA DE Fibra de vidrio. PLANTILLA Antiperforación textil. SUELA DE PU/PU DOBLE DENSIDAD"/>
    <s v="Zapato Cherokeeaz S1+P+Ci+Src+Esd Marino  35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35"/>
    <n v="8457780348105"/>
    <n v="18457780348102"/>
    <s v="https://forli.es/inicio/413-cherokee-azul-s1ps-ci-fo-sr-esd.html"/>
    <m/>
  </r>
  <r>
    <s v="FOR.CHEROKEEAZ"/>
    <x v="19"/>
    <s v="FOR.CHEROKEEAZ-78-36"/>
    <s v="ZAPATO CHEROKEEAZ S1+P+CI+SRC+ESD Marino  36"/>
    <s v="ZAPATO CHEROKEEAZ S1+P+CI+SRC+ESD Marino  36. FABRICADO EN PIEL SERRAJE + REJILLA. PUNTERA DE Fibra de vidrio. PLANTILLA Antiperforación textil. SUELA DE PU/PU DOBLE DENSIDAD"/>
    <s v="Zapato Cherokeeaz S1+P+Ci+Src+Esd Marino  36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36"/>
    <n v="8457780348112"/>
    <n v="18457780348119"/>
    <s v="https://forli.es/inicio/413-cherokee-azul-s1ps-ci-fo-sr-esd.html"/>
    <m/>
  </r>
  <r>
    <s v="FOR.CHEROKEEAZ"/>
    <x v="19"/>
    <s v="FOR.CHEROKEEAZ-78-37"/>
    <s v="ZAPATO CHEROKEEAZ S1+P+CI+SRC+ESD Marino  37"/>
    <s v="ZAPATO CHEROKEEAZ S1+P+CI+SRC+ESD Marino  37. FABRICADO EN PIEL SERRAJE + REJILLA. PUNTERA DE Fibra de vidrio. PLANTILLA Antiperforación textil. SUELA DE PU/PU DOBLE DENSIDAD"/>
    <s v="Zapato Cherokeeaz S1+P+Ci+Src+Esd Marino  37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37"/>
    <n v="8457780348129"/>
    <n v="18457780348126"/>
    <s v="https://forli.es/inicio/413-cherokee-azul-s1ps-ci-fo-sr-esd.html"/>
    <m/>
  </r>
  <r>
    <s v="FOR.CHEROKEEAZ"/>
    <x v="19"/>
    <s v="FOR.CHEROKEEAZ-78-38"/>
    <s v="ZAPATO CHEROKEEAZ S1+P+CI+SRC+ESD Marino  38"/>
    <s v="ZAPATO CHEROKEEAZ S1+P+CI+SRC+ESD Marino  38. FABRICADO EN PIEL SERRAJE + REJILLA. PUNTERA DE Fibra de vidrio. PLANTILLA Antiperforación textil. SUELA DE PU/PU DOBLE DENSIDAD"/>
    <s v="Zapato Cherokeeaz S1+P+Ci+Src+Esd Marino  38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38"/>
    <n v="8457780348136"/>
    <n v="18457780348133"/>
    <s v="https://forli.es/inicio/413-cherokee-azul-s1ps-ci-fo-sr-esd.html"/>
    <m/>
  </r>
  <r>
    <s v="FOR.CHEROKEEAZ"/>
    <x v="19"/>
    <s v="FOR.CHEROKEEAZ-78-39"/>
    <s v="ZAPATO CHEROKEEAZ S1+P+CI+SRC+ESD Marino  39"/>
    <s v="ZAPATO CHEROKEEAZ S1+P+CI+SRC+ESD Marino  39. FABRICADO EN PIEL SERRAJE + REJILLA. PUNTERA DE Fibra de vidrio. PLANTILLA Antiperforación textil. SUELA DE PU/PU DOBLE DENSIDAD"/>
    <s v="Zapato Cherokeeaz S1+P+Ci+Src+Esd Marino  39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39"/>
    <n v="8457780348143"/>
    <n v="18457780348140"/>
    <s v="https://forli.es/inicio/413-cherokee-azul-s1ps-ci-fo-sr-esd.html"/>
    <m/>
  </r>
  <r>
    <s v="FOR.CHEROKEEAZ"/>
    <x v="19"/>
    <s v="FOR.CHEROKEEAZ-78-40"/>
    <s v="ZAPATO CHEROKEEAZ S1+P+CI+SRC+ESD Marino  40"/>
    <s v="ZAPATO CHEROKEEAZ S1+P+CI+SRC+ESD Marino  40. FABRICADO EN PIEL SERRAJE + REJILLA. PUNTERA DE Fibra de vidrio. PLANTILLA Antiperforación textil. SUELA DE PU/PU DOBLE DENSIDAD"/>
    <s v="Zapato Cherokeeaz S1+P+Ci+Src+Esd Marino  40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0"/>
    <n v="8457780348150"/>
    <n v="18457780348157"/>
    <s v="https://forli.es/inicio/413-cherokee-azul-s1ps-ci-fo-sr-esd.html"/>
    <m/>
  </r>
  <r>
    <s v="FOR.CHEROKEEAZ"/>
    <x v="19"/>
    <s v="FOR.CHEROKEEAZ-78-41"/>
    <s v="ZAPATO CHEROKEEAZ S1+P+CI+SRC+ESD Marino  41"/>
    <s v="ZAPATO CHEROKEEAZ S1+P+CI+SRC+ESD Marino  41. FABRICADO EN PIEL SERRAJE + REJILLA. PUNTERA DE Fibra de vidrio. PLANTILLA Antiperforación textil. SUELA DE PU/PU DOBLE DENSIDAD"/>
    <s v="Zapato Cherokeeaz S1+P+Ci+Src+Esd Marino  41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1"/>
    <n v="8457780348167"/>
    <n v="18457780348164"/>
    <s v="https://forli.es/inicio/413-cherokee-azul-s1ps-ci-fo-sr-esd.html"/>
    <m/>
  </r>
  <r>
    <s v="FOR.CHEROKEEAZ"/>
    <x v="19"/>
    <s v="FOR.CHEROKEEAZ-78-42"/>
    <s v="ZAPATO CHEROKEEAZ S1+P+CI+SRC+ESD Marino  42"/>
    <s v="ZAPATO CHEROKEEAZ S1+P+CI+SRC+ESD Marino  42. FABRICADO EN PIEL SERRAJE + REJILLA. PUNTERA DE Fibra de vidrio. PLANTILLA Antiperforación textil. SUELA DE PU/PU DOBLE DENSIDAD"/>
    <s v="Zapato Cherokeeaz S1+P+Ci+Src+Esd Marino  42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2"/>
    <n v="8457780348174"/>
    <n v="18457780348171"/>
    <s v="https://forli.es/inicio/413-cherokee-azul-s1ps-ci-fo-sr-esd.html"/>
    <m/>
  </r>
  <r>
    <s v="FOR.CHEROKEEAZ"/>
    <x v="19"/>
    <s v="FOR.CHEROKEEAZ-78-43"/>
    <s v="ZAPATO CHEROKEEAZ S1+P+CI+SRC+ESD Marino  43"/>
    <s v="ZAPATO CHEROKEEAZ S1+P+CI+SRC+ESD Marino  43. FABRICADO EN PIEL SERRAJE + REJILLA. PUNTERA DE Fibra de vidrio. PLANTILLA Antiperforación textil. SUELA DE PU/PU DOBLE DENSIDAD"/>
    <s v="Zapato Cherokeeaz S1+P+Ci+Src+Esd Marino  43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3"/>
    <n v="8457780348181"/>
    <n v="18457780348188"/>
    <s v="https://forli.es/inicio/413-cherokee-azul-s1ps-ci-fo-sr-esd.html"/>
    <m/>
  </r>
  <r>
    <s v="FOR.CHEROKEEAZ"/>
    <x v="19"/>
    <s v="FOR.CHEROKEEAZ-78-44"/>
    <s v="ZAPATO CHEROKEEAZ S1+P+CI+SRC+ESD Marino  44"/>
    <s v="ZAPATO CHEROKEEAZ S1+P+CI+SRC+ESD Marino  44. FABRICADO EN PIEL SERRAJE + REJILLA. PUNTERA DE Fibra de vidrio. PLANTILLA Antiperforación textil. SUELA DE PU/PU DOBLE DENSIDAD"/>
    <s v="Zapato Cherokeeaz S1+P+Ci+Src+Esd Marino  44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4"/>
    <n v="8457780348198"/>
    <n v="18457780348195"/>
    <s v="https://forli.es/inicio/413-cherokee-azul-s1ps-ci-fo-sr-esd.html"/>
    <m/>
  </r>
  <r>
    <s v="FOR.CHEROKEEAZ"/>
    <x v="19"/>
    <s v="FOR.CHEROKEEAZ-78-45"/>
    <s v="ZAPATO CHEROKEEAZ S1+P+CI+SRC+ESD Marino  45"/>
    <s v="ZAPATO CHEROKEEAZ S1+P+CI+SRC+ESD Marino  45. FABRICADO EN PIEL SERRAJE + REJILLA. PUNTERA DE Fibra de vidrio. PLANTILLA Antiperforación textil. SUELA DE PU/PU DOBLE DENSIDAD"/>
    <s v="Zapato Cherokeeaz S1+P+Ci+Src+Esd Marino  45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5"/>
    <n v="8457780348204"/>
    <n v="18457780348201"/>
    <s v="https://forli.es/inicio/413-cherokee-azul-s1ps-ci-fo-sr-esd.html"/>
    <m/>
  </r>
  <r>
    <s v="FOR.CHEROKEEAZ"/>
    <x v="19"/>
    <s v="FOR.CHEROKEEAZ-78-46"/>
    <s v="ZAPATO CHEROKEEAZ S1+P+CI+SRC+ESD Marino  46"/>
    <s v="ZAPATO CHEROKEEAZ S1+P+CI+SRC+ESD Marino  46. FABRICADO EN PIEL SERRAJE + REJILLA. PUNTERA DE Fibra de vidrio. PLANTILLA Antiperforación textil. SUELA DE PU/PU DOBLE DENSIDAD"/>
    <s v="Zapato Cherokeeaz S1+P+Ci+Src+Esd Marino  46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6"/>
    <n v="8457780348211"/>
    <n v="18457780348218"/>
    <s v="https://forli.es/inicio/413-cherokee-azul-s1ps-ci-fo-sr-esd.html"/>
    <m/>
  </r>
  <r>
    <s v="FOR.CHEROKEEAZ"/>
    <x v="19"/>
    <s v="FOR.CHEROKEEAZ-78-47"/>
    <s v="ZAPATO CHEROKEEAZ S1+P+CI+SRC+ESD Marino  47"/>
    <s v="ZAPATO CHEROKEEAZ S1+P+CI+SRC+ESD Marino  47. FABRICADO EN PIEL SERRAJE + REJILLA. PUNTERA DE Fibra de vidrio. PLANTILLA Antiperforación textil. SUELA DE PU/PU DOBLE DENSIDAD"/>
    <s v="Zapato Cherokeeaz S1+P+Ci+Src+Esd Marino  47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7"/>
    <n v="8457780348228"/>
    <n v="18457780348225"/>
    <s v="https://forli.es/inicio/413-cherokee-azul-s1ps-ci-fo-sr-esd.html"/>
    <m/>
  </r>
  <r>
    <s v="FOR.CHEROKEEAZ"/>
    <x v="19"/>
    <s v="FOR.CHEROKEEAZ-78-48"/>
    <s v="ZAPATO CHEROKEEAZ S1+P+CI+SRC+ESD Marino  48"/>
    <s v="ZAPATO CHEROKEEAZ S1+P+CI+SRC+ESD Marino  48. FABRICADO EN PIEL SERRAJE + REJILLA. PUNTERA DE Fibra de vidrio. PLANTILLA Antiperforación textil. SUELA DE PU/PU DOBLE DENSIDAD"/>
    <s v="Zapato Cherokeeaz S1+P+Ci+Src+Esd Marino  48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8"/>
    <n v="8457780348235"/>
    <n v="18457780348232"/>
    <s v="https://forli.es/inicio/413-cherokee-azul-s1ps-ci-fo-sr-esd.html"/>
    <m/>
  </r>
  <r>
    <s v="FOR.CHEROKEEAZ"/>
    <x v="19"/>
    <s v="FOR.CHEROKEEAZ-78-49"/>
    <s v="ZAPATO CHEROKEEAZ S1+P+CI+SRC+ESD Marino  49"/>
    <s v="ZAPATO CHEROKEEAZ S1+P+CI+SRC+ESD Marino  49. FABRICADO EN PIEL SERRAJE + REJILLA. PUNTERA DE Fibra de vidrio. PLANTILLA Antiperforación textil. SUELA DE PU/PU DOBLE DENSIDAD"/>
    <s v="Zapato Cherokeeaz S1+P+Ci+Src+Esd Marino  49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49"/>
    <n v="8457780348242"/>
    <n v="18457780348249"/>
    <s v="https://forli.es/inicio/413-cherokee-azul-s1ps-ci-fo-sr-esd.html"/>
    <m/>
  </r>
  <r>
    <s v="FOR.CHEROKEEAZ"/>
    <x v="19"/>
    <s v="FOR.CHEROKEEAZ-78-50"/>
    <s v="ZAPATO CHEROKEEAZ S1+P+CI+SRC+ESD Marino  50"/>
    <s v="ZAPATO CHEROKEEAZ S1+P+CI+SRC+ESD Marino  50. FABRICADO EN PIEL SERRAJE + REJILLA. PUNTERA DE Fibra de vidrio. PLANTILLA Antiperforación textil. SUELA DE PU/PU DOBLE DENSIDAD"/>
    <s v="Zapato Cherokeeaz S1+P+Ci+Src+Esd Marino  50. Fabricado En Piel Serraje + Rejilla. Puntera De Fibra De Vidrio. Plantilla Antiperforación Textil. Suela De Pu/Pu Doble Densidad"/>
    <n v="23.3"/>
    <x v="1"/>
    <x v="0"/>
    <s v="Marino"/>
    <s v="PIEL SERRAJE + REJILLA"/>
    <s v="Fibra de vidrio"/>
    <s v="Antiperforación textil"/>
    <s v="PU/PU DOBLE DENSIDAD"/>
    <n v="50"/>
    <n v="8457780348259"/>
    <n v="18457780348256"/>
    <s v="https://forli.es/inicio/413-cherokee-azul-s1ps-ci-fo-sr-esd.html"/>
    <m/>
  </r>
  <r>
    <s v="FOR.CHEROKEEGR"/>
    <x v="20"/>
    <s v="FOR.CHEROKEEGR-94-35"/>
    <s v="ZAPATO CHEROKEEGR S1+P+CI+SRC+ESD Gris  35"/>
    <s v="ZAPATO CHEROKEEGR S1+P+CI+SRC+ESD Gris  35. FABRICADO EN PIEL SERRAJE + REJILLA. PUNTERA DE Fibra de vidrio. PLANTILLA Antiperforación textil. SUELA DE PU/PU DOBLE DENSIDAD"/>
    <s v="Zapato Cherokeegr S1+P+Ci+Src+Esd Gris  35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35"/>
    <n v="8457780347948"/>
    <n v="18457780347945"/>
    <s v="https://forli.es/inicio/416-cherokee-azul-s1ps-ci-fo-sr-esd.html"/>
    <m/>
  </r>
  <r>
    <s v="FOR.CHEROKEEGR"/>
    <x v="20"/>
    <s v="FOR.CHEROKEEGR-94-36"/>
    <s v="ZAPATO CHEROKEEGR S1+P+CI+SRC+ESD Gris  36"/>
    <s v="ZAPATO CHEROKEEGR S1+P+CI+SRC+ESD Gris  36. FABRICADO EN PIEL SERRAJE + REJILLA. PUNTERA DE Fibra de vidrio. PLANTILLA Antiperforación textil. SUELA DE PU/PU DOBLE DENSIDAD"/>
    <s v="Zapato Cherokeegr S1+P+Ci+Src+Esd Gris  36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36"/>
    <n v="8457780347955"/>
    <n v="18457780347952"/>
    <s v="https://forli.es/inicio/416-cherokee-azul-s1ps-ci-fo-sr-esd.html"/>
    <m/>
  </r>
  <r>
    <s v="FOR.CHEROKEEGR"/>
    <x v="20"/>
    <s v="FOR.CHEROKEEGR-94-37"/>
    <s v="ZAPATO CHEROKEEGR S1+P+CI+SRC+ESD Gris  37"/>
    <s v="ZAPATO CHEROKEEGR S1+P+CI+SRC+ESD Gris  37. FABRICADO EN PIEL SERRAJE + REJILLA. PUNTERA DE Fibra de vidrio. PLANTILLA Antiperforación textil. SUELA DE PU/PU DOBLE DENSIDAD"/>
    <s v="Zapato Cherokeegr S1+P+Ci+Src+Esd Gris  37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37"/>
    <n v="8457780347962"/>
    <n v="18457780347969"/>
    <s v="https://forli.es/inicio/416-cherokee-azul-s1ps-ci-fo-sr-esd.html"/>
    <m/>
  </r>
  <r>
    <s v="FOR.CHEROKEEGR"/>
    <x v="20"/>
    <s v="FOR.CHEROKEEGR-94-38"/>
    <s v="ZAPATO CHEROKEEGR S1+P+CI+SRC+ESD Gris  38"/>
    <s v="ZAPATO CHEROKEEGR S1+P+CI+SRC+ESD Gris  38. FABRICADO EN PIEL SERRAJE + REJILLA. PUNTERA DE Fibra de vidrio. PLANTILLA Antiperforación textil. SUELA DE PU/PU DOBLE DENSIDAD"/>
    <s v="Zapato Cherokeegr S1+P+Ci+Src+Esd Gris  38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38"/>
    <n v="8457780347979"/>
    <n v="18457780347976"/>
    <s v="https://forli.es/inicio/416-cherokee-azul-s1ps-ci-fo-sr-esd.html"/>
    <m/>
  </r>
  <r>
    <s v="FOR.CHEROKEEGR"/>
    <x v="20"/>
    <s v="FOR.CHEROKEEGR-94-39"/>
    <s v="ZAPATO CHEROKEEGR S1+P+CI+SRC+ESD Gris  39"/>
    <s v="ZAPATO CHEROKEEGR S1+P+CI+SRC+ESD Gris  39. FABRICADO EN PIEL SERRAJE + REJILLA. PUNTERA DE Fibra de vidrio. PLANTILLA Antiperforación textil. SUELA DE PU/PU DOBLE DENSIDAD"/>
    <s v="Zapato Cherokeegr S1+P+Ci+Src+Esd Gris  39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39"/>
    <n v="8457780347986"/>
    <n v="18457780347983"/>
    <s v="https://forli.es/inicio/416-cherokee-azul-s1ps-ci-fo-sr-esd.html"/>
    <m/>
  </r>
  <r>
    <s v="FOR.CHEROKEEGR"/>
    <x v="20"/>
    <s v="FOR.CHEROKEEGR-94-40"/>
    <s v="ZAPATO CHEROKEEGR S1+P+CI+SRC+ESD Gris  40"/>
    <s v="ZAPATO CHEROKEEGR S1+P+CI+SRC+ESD Gris  40. FABRICADO EN PIEL SERRAJE + REJILLA. PUNTERA DE Fibra de vidrio. PLANTILLA Antiperforación textil. SUELA DE PU/PU DOBLE DENSIDAD"/>
    <s v="Zapato Cherokeegr S1+P+Ci+Src+Esd Gris  40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0"/>
    <n v="8457780347993"/>
    <n v="18457780347990"/>
    <s v="https://forli.es/inicio/416-cherokee-azul-s1ps-ci-fo-sr-esd.html"/>
    <m/>
  </r>
  <r>
    <s v="FOR.CHEROKEEGR"/>
    <x v="20"/>
    <s v="FOR.CHEROKEEGR-94-41"/>
    <s v="ZAPATO CHEROKEEGR S1+P+CI+SRC+ESD Gris  41"/>
    <s v="ZAPATO CHEROKEEGR S1+P+CI+SRC+ESD Gris  41. FABRICADO EN PIEL SERRAJE + REJILLA. PUNTERA DE Fibra de vidrio. PLANTILLA Antiperforación textil. SUELA DE PU/PU DOBLE DENSIDAD"/>
    <s v="Zapato Cherokeegr S1+P+Ci+Src+Esd Gris  41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1"/>
    <n v="8457780348006"/>
    <n v="18457780348003"/>
    <s v="https://forli.es/inicio/416-cherokee-azul-s1ps-ci-fo-sr-esd.html"/>
    <m/>
  </r>
  <r>
    <s v="FOR.CHEROKEEGR"/>
    <x v="20"/>
    <s v="FOR.CHEROKEEGR-94-42"/>
    <s v="ZAPATO CHEROKEEGR S1+P+CI+SRC+ESD Gris  42"/>
    <s v="ZAPATO CHEROKEEGR S1+P+CI+SRC+ESD Gris  42. FABRICADO EN PIEL SERRAJE + REJILLA. PUNTERA DE Fibra de vidrio. PLANTILLA Antiperforación textil. SUELA DE PU/PU DOBLE DENSIDAD"/>
    <s v="Zapato Cherokeegr S1+P+Ci+Src+Esd Gris  42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2"/>
    <n v="8457780348013"/>
    <n v="18457780348010"/>
    <s v="https://forli.es/inicio/416-cherokee-azul-s1ps-ci-fo-sr-esd.html"/>
    <m/>
  </r>
  <r>
    <s v="FOR.CHEROKEEGR"/>
    <x v="20"/>
    <s v="FOR.CHEROKEEGR-94-43"/>
    <s v="ZAPATO CHEROKEEGR S1+P+CI+SRC+ESD Gris  43"/>
    <s v="ZAPATO CHEROKEEGR S1+P+CI+SRC+ESD Gris  43. FABRICADO EN PIEL SERRAJE + REJILLA. PUNTERA DE Fibra de vidrio. PLANTILLA Antiperforación textil. SUELA DE PU/PU DOBLE DENSIDAD"/>
    <s v="Zapato Cherokeegr S1+P+Ci+Src+Esd Gris  43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3"/>
    <n v="8457780348020"/>
    <n v="18457780348027"/>
    <s v="https://forli.es/inicio/416-cherokee-azul-s1ps-ci-fo-sr-esd.html"/>
    <m/>
  </r>
  <r>
    <s v="FOR.CHEROKEEGR"/>
    <x v="20"/>
    <s v="FOR.CHEROKEEGR-94-44"/>
    <s v="ZAPATO CHEROKEEGR S1+P+CI+SRC+ESD Gris  44"/>
    <s v="ZAPATO CHEROKEEGR S1+P+CI+SRC+ESD Gris  44. FABRICADO EN PIEL SERRAJE + REJILLA. PUNTERA DE Fibra de vidrio. PLANTILLA Antiperforación textil. SUELA DE PU/PU DOBLE DENSIDAD"/>
    <s v="Zapato Cherokeegr S1+P+Ci+Src+Esd Gris  44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4"/>
    <n v="8457780348037"/>
    <n v="18457780348034"/>
    <s v="https://forli.es/inicio/416-cherokee-azul-s1ps-ci-fo-sr-esd.html"/>
    <m/>
  </r>
  <r>
    <s v="FOR.CHEROKEEGR"/>
    <x v="20"/>
    <s v="FOR.CHEROKEEGR-94-45"/>
    <s v="ZAPATO CHEROKEEGR S1+P+CI+SRC+ESD Gris  45"/>
    <s v="ZAPATO CHEROKEEGR S1+P+CI+SRC+ESD Gris  45. FABRICADO EN PIEL SERRAJE + REJILLA. PUNTERA DE Fibra de vidrio. PLANTILLA Antiperforación textil. SUELA DE PU/PU DOBLE DENSIDAD"/>
    <s v="Zapato Cherokeegr S1+P+Ci+Src+Esd Gris  45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5"/>
    <n v="8457780348044"/>
    <n v="18457780348041"/>
    <s v="https://forli.es/inicio/416-cherokee-azul-s1ps-ci-fo-sr-esd.html"/>
    <m/>
  </r>
  <r>
    <s v="FOR.CHEROKEEGR"/>
    <x v="20"/>
    <s v="FOR.CHEROKEEGR-94-46"/>
    <s v="ZAPATO CHEROKEEGR S1+P+CI+SRC+ESD Gris  46"/>
    <s v="ZAPATO CHEROKEEGR S1+P+CI+SRC+ESD Gris  46. FABRICADO EN PIEL SERRAJE + REJILLA. PUNTERA DE Fibra de vidrio. PLANTILLA Antiperforación textil. SUELA DE PU/PU DOBLE DENSIDAD"/>
    <s v="Zapato Cherokeegr S1+P+Ci+Src+Esd Gris  46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6"/>
    <n v="8457780348051"/>
    <n v="18457780348058"/>
    <s v="https://forli.es/inicio/416-cherokee-azul-s1ps-ci-fo-sr-esd.html"/>
    <m/>
  </r>
  <r>
    <s v="FOR.CHEROKEEGR"/>
    <x v="20"/>
    <s v="FOR.CHEROKEEGR-94-47"/>
    <s v="ZAPATO CHEROKEEGR S1+P+CI+SRC+ESD Gris  47"/>
    <s v="ZAPATO CHEROKEEGR S1+P+CI+SRC+ESD Gris  47. FABRICADO EN PIEL SERRAJE + REJILLA. PUNTERA DE Fibra de vidrio. PLANTILLA Antiperforación textil. SUELA DE PU/PU DOBLE DENSIDAD"/>
    <s v="Zapato Cherokeegr S1+P+Ci+Src+Esd Gris  47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7"/>
    <n v="8457780348068"/>
    <n v="18457780348065"/>
    <s v="https://forli.es/inicio/416-cherokee-azul-s1ps-ci-fo-sr-esd.html"/>
    <m/>
  </r>
  <r>
    <s v="FOR.CHEROKEEGR"/>
    <x v="20"/>
    <s v="FOR.CHEROKEEGR-94-48"/>
    <s v="ZAPATO CHEROKEEGR S1+P+CI+SRC+ESD Gris  48"/>
    <s v="ZAPATO CHEROKEEGR S1+P+CI+SRC+ESD Gris  48. FABRICADO EN PIEL SERRAJE + REJILLA. PUNTERA DE Fibra de vidrio. PLANTILLA Antiperforación textil. SUELA DE PU/PU DOBLE DENSIDAD"/>
    <s v="Zapato Cherokeegr S1+P+Ci+Src+Esd Gris  48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8"/>
    <n v="8457780348075"/>
    <n v="18457780348072"/>
    <s v="https://forli.es/inicio/416-cherokee-azul-s1ps-ci-fo-sr-esd.html"/>
    <m/>
  </r>
  <r>
    <s v="FOR.CHEROKEEGR"/>
    <x v="20"/>
    <s v="FOR.CHEROKEEGR-94-49"/>
    <s v="ZAPATO CHEROKEEGR S1+P+CI+SRC+ESD Gris  49"/>
    <s v="ZAPATO CHEROKEEGR S1+P+CI+SRC+ESD Gris  49. FABRICADO EN PIEL SERRAJE + REJILLA. PUNTERA DE Fibra de vidrio. PLANTILLA Antiperforación textil. SUELA DE PU/PU DOBLE DENSIDAD"/>
    <s v="Zapato Cherokeegr S1+P+Ci+Src+Esd Gris  49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49"/>
    <n v="8457780348082"/>
    <n v="18457780348089"/>
    <s v="https://forli.es/inicio/416-cherokee-azul-s1ps-ci-fo-sr-esd.html"/>
    <m/>
  </r>
  <r>
    <s v="FOR.CHEROKEEGR"/>
    <x v="20"/>
    <s v="FOR.CHEROKEEGR-94-50"/>
    <s v="ZAPATO CHEROKEEGR S1+P+CI+SRC+ESD Gris  50"/>
    <s v="ZAPATO CHEROKEEGR S1+P+CI+SRC+ESD Gris  50. FABRICADO EN PIEL SERRAJE + REJILLA. PUNTERA DE Fibra de vidrio. PLANTILLA Antiperforación textil. SUELA DE PU/PU DOBLE DENSIDAD"/>
    <s v="Zapato Cherokeegr S1+P+Ci+Src+Esd Gris  50. Fabricado En Piel Serraje + Rejilla. Puntera De Fibra De Vidrio. Plantilla Antiperforación Textil. Suela De Pu/Pu Doble Densidad"/>
    <n v="23.3"/>
    <x v="1"/>
    <x v="0"/>
    <s v="GRIS"/>
    <s v="PIEL SERRAJE + REJILLA"/>
    <s v="Fibra de vidrio"/>
    <s v="Antiperforación textil"/>
    <s v="PU/PU DOBLE DENSIDAD"/>
    <n v="50"/>
    <n v="8457780348099"/>
    <n v="18457780348096"/>
    <s v="https://forli.es/inicio/416-cherokee-azul-s1ps-ci-fo-sr-esd.html"/>
    <m/>
  </r>
  <r>
    <s v="FOR.PLANTILLA.PFM"/>
    <x v="21"/>
    <s v="FOR.PLANTILLA.PFM-99-35-38"/>
    <s v="PLANTILLA INTERIOR PFM Negro 35-38"/>
    <s v="PLANTILLA INTERIOR PFM Negro 35-38. FABRICADO EN . PUNTERA DE . PLANTILLA . SUELA DE "/>
    <s v="Plantilla Interior Pfm Negro 35-38. Fabricado En . Puntera De . Plantilla . Suela De "/>
    <n v="3.95"/>
    <x v="2"/>
    <x v="0"/>
    <s v="NEGRO"/>
    <m/>
    <m/>
    <m/>
    <m/>
    <s v="35-38"/>
    <n v="8457780318719"/>
    <s v="18457780318716"/>
    <s v="https://forli.es/accesorios/365-10952-plantillapfm.html#/42-color-negro_black/51-talla-35_38"/>
    <m/>
  </r>
  <r>
    <s v="FOR.PLANTILLA.PFM"/>
    <x v="21"/>
    <s v="FOR.PLANTILLA.PFM-99-39-41"/>
    <s v="PLANTILLA INTERIOR PFM Negro 39-41"/>
    <s v="PLANTILLA INTERIOR PFM Negro 39-41. FABRICADO EN . PUNTERA DE . PLANTILLA . SUELA DE "/>
    <s v="Plantilla Interior Pfm Negro 39-41. Fabricado En . Puntera De . Plantilla . Suela De "/>
    <n v="3.95"/>
    <x v="2"/>
    <x v="0"/>
    <s v="NEGRO"/>
    <m/>
    <m/>
    <m/>
    <m/>
    <s v="39-41"/>
    <n v="8457780318726"/>
    <s v="18457780318723"/>
    <s v="https://forli.es/accesorios/365-10952-plantillapfm.html#/42-color-negro_black/51-talla-35_38"/>
    <m/>
  </r>
  <r>
    <s v="FOR.PLANTILLA.PFM"/>
    <x v="21"/>
    <s v="FOR.PLANTILLA.PFM-99-42-44"/>
    <s v="PLANTILLA INTERIOR PFM Negro 42-44"/>
    <s v="PLANTILLA INTERIOR PFM Negro 42-44. FABRICADO EN . PUNTERA DE . PLANTILLA . SUELA DE "/>
    <s v="Plantilla Interior Pfm Negro 42-44. Fabricado En . Puntera De . Plantilla . Suela De "/>
    <n v="3.95"/>
    <x v="2"/>
    <x v="0"/>
    <s v="NEGRO"/>
    <m/>
    <m/>
    <m/>
    <m/>
    <s v="42-44"/>
    <n v="8457780318733"/>
    <s v="18457780318730"/>
    <s v="https://forli.es/accesorios/365-10952-plantillapfm.html#/42-color-negro_black/51-talla-35_38"/>
    <m/>
  </r>
  <r>
    <s v="FOR.PLANTILLA.PFM"/>
    <x v="21"/>
    <s v="FOR.PLANTILLA.PFM-99-45-48"/>
    <s v="PLANTILLA INTERIOR PFM Negro 45-48"/>
    <s v="PLANTILLA INTERIOR PFM Negro 45-48. FABRICADO EN . PUNTERA DE . PLANTILLA . SUELA DE "/>
    <s v="Plantilla Interior Pfm Negro 45-48. Fabricado En . Puntera De . Plantilla . Suela De "/>
    <n v="3.95"/>
    <x v="2"/>
    <x v="0"/>
    <s v="NEGRO"/>
    <m/>
    <m/>
    <m/>
    <m/>
    <s v="45-48"/>
    <n v="8457780318740"/>
    <s v="18457780318747"/>
    <s v="https://forli.es/accesorios/365-10952-plantillapfm.html#/42-color-negro_black/51-talla-35_38"/>
    <m/>
  </r>
  <r>
    <s v="FOR.DELTA"/>
    <x v="22"/>
    <s v="FOR.DELTA-00-35"/>
    <s v="ZAPATO 01-FO-SR Blanco 35"/>
    <s v="ZAPATO 01-FO-SR Blanco 35. FABRICADO EN TEXTIL TRANSPIRABLE CON REFUERZO EN PUNTERA. PUNTERA DE No lleva. PLANTILLA No lleva. SUELA DE EVA/CAUCHO-NITRILO"/>
    <s v="Zapato 01-Fo-Sr Blanco 35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35"/>
    <n v="8457780337260"/>
    <s v="18457780337267"/>
    <s v="https://forli.es/neo-sanitario/374-11068-DELTA.html#/27-talla-35/48-color-blanco"/>
    <m/>
  </r>
  <r>
    <s v="FOR.DELTA"/>
    <x v="22"/>
    <s v="FOR.DELTA-00-36"/>
    <s v="ZAPATO 01-FO-SR Blanco 36"/>
    <s v="ZAPATO 01-FO-SR Blanco 36. FABRICADO EN TEXTIL TRANSPIRABLE CON REFUERZO EN PUNTERA. PUNTERA DE No lleva. PLANTILLA No lleva. SUELA DE EVA/CAUCHO-NITRILO"/>
    <s v="Zapato 01-Fo-Sr Blanco 36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36"/>
    <n v="8457780337277"/>
    <s v="18457780337274"/>
    <s v="https://forli.es/neo-sanitario/374-11068-DELTA.html#/27-talla-35/48-color-blanco"/>
    <m/>
  </r>
  <r>
    <s v="FOR.DELTA"/>
    <x v="22"/>
    <s v="FOR.DELTA-00-37"/>
    <s v="ZAPATO 01-FO-SR Blanco 37"/>
    <s v="ZAPATO 01-FO-SR Blanco 37. FABRICADO EN TEXTIL TRANSPIRABLE CON REFUERZO EN PUNTERA. PUNTERA DE No lleva. PLANTILLA No lleva. SUELA DE EVA/CAUCHO-NITRILO"/>
    <s v="Zapato 01-Fo-Sr Blanco 37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37"/>
    <n v="8457780337284"/>
    <s v="18457780337281"/>
    <s v="https://forli.es/neo-sanitario/374-11068-DELTA.html#/27-talla-35/48-color-blanco"/>
    <m/>
  </r>
  <r>
    <s v="FOR.DELTA"/>
    <x v="22"/>
    <s v="FOR.DELTA-00-38"/>
    <s v="ZAPATO 01-FO-SR Blanco 38"/>
    <s v="ZAPATO 01-FO-SR Blanco 38. FABRICADO EN TEXTIL TRANSPIRABLE CON REFUERZO EN PUNTERA. PUNTERA DE No lleva. PLANTILLA No lleva. SUELA DE EVA/CAUCHO-NITRILO"/>
    <s v="Zapato 01-Fo-Sr Blanco 38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38"/>
    <n v="8457780337291"/>
    <s v="18457780337298"/>
    <s v="https://forli.es/neo-sanitario/374-11068-DELTA.html#/27-talla-35/48-color-blanco"/>
    <m/>
  </r>
  <r>
    <s v="FOR.DELTA"/>
    <x v="22"/>
    <s v="FOR.DELTA-00-39"/>
    <s v="ZAPATO 01-FO-SR Blanco 39"/>
    <s v="ZAPATO 01-FO-SR Blanco 39. FABRICADO EN TEXTIL TRANSPIRABLE CON REFUERZO EN PUNTERA. PUNTERA DE No lleva. PLANTILLA No lleva. SUELA DE EVA/CAUCHO-NITRILO"/>
    <s v="Zapato 01-Fo-Sr Blanco 39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39"/>
    <n v="8457780337307"/>
    <s v="18457780337304"/>
    <s v="https://forli.es/neo-sanitario/374-11068-DELTA.html#/27-talla-35/48-color-blanco"/>
    <m/>
  </r>
  <r>
    <s v="FOR.DELTA"/>
    <x v="22"/>
    <s v="FOR.DELTA-00-40"/>
    <s v="ZAPATO 01-FO-SR Blanco 40"/>
    <s v="ZAPATO 01-FO-SR Blanco 40. FABRICADO EN TEXTIL TRANSPIRABLE CON REFUERZO EN PUNTERA. PUNTERA DE No lleva. PLANTILLA No lleva. SUELA DE EVA/CAUCHO-NITRILO"/>
    <s v="Zapato 01-Fo-Sr Blanco 40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0"/>
    <n v="8457780337314"/>
    <s v="18457780337311"/>
    <s v="https://forli.es/neo-sanitario/374-11068-DELTA.html#/27-talla-35/48-color-blanco"/>
    <m/>
  </r>
  <r>
    <s v="FOR.DELTA"/>
    <x v="22"/>
    <s v="FOR.DELTA-00-41"/>
    <s v="ZAPATO 01-FO-SR Blanco 41"/>
    <s v="ZAPATO 01-FO-SR Blanco 41. FABRICADO EN TEXTIL TRANSPIRABLE CON REFUERZO EN PUNTERA. PUNTERA DE No lleva. PLANTILLA No lleva. SUELA DE EVA/CAUCHO-NITRILO"/>
    <s v="Zapato 01-Fo-Sr Blanco 41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1"/>
    <n v="8457780337321"/>
    <s v="18457780337328"/>
    <s v="https://forli.es/neo-sanitario/374-11068-DELTA.html#/27-talla-35/48-color-blanco"/>
    <m/>
  </r>
  <r>
    <s v="FOR.DELTA"/>
    <x v="22"/>
    <s v="FOR.DELTA-00-42"/>
    <s v="ZAPATO 01-FO-SR Blanco 42"/>
    <s v="ZAPATO 01-FO-SR Blanco 42. FABRICADO EN TEXTIL TRANSPIRABLE CON REFUERZO EN PUNTERA. PUNTERA DE No lleva. PLANTILLA No lleva. SUELA DE EVA/CAUCHO-NITRILO"/>
    <s v="Zapato 01-Fo-Sr Blanco 42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2"/>
    <n v="8457780337338"/>
    <s v="18457780337335"/>
    <s v="https://forli.es/neo-sanitario/374-11068-DELTA.html#/27-talla-35/48-color-blanco"/>
    <m/>
  </r>
  <r>
    <s v="FOR.DELTA"/>
    <x v="22"/>
    <s v="FOR.DELTA-00-43"/>
    <s v="ZAPATO 01-FO-SR Blanco 43"/>
    <s v="ZAPATO 01-FO-SR Blanco 43. FABRICADO EN TEXTIL TRANSPIRABLE CON REFUERZO EN PUNTERA. PUNTERA DE No lleva. PLANTILLA No lleva. SUELA DE EVA/CAUCHO-NITRILO"/>
    <s v="Zapato 01-Fo-Sr Blanco 43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3"/>
    <n v="8457780337345"/>
    <s v="18457780337342"/>
    <s v="https://forli.es/neo-sanitario/374-11068-DELTA.html#/27-talla-35/48-color-blanco"/>
    <m/>
  </r>
  <r>
    <s v="FOR.DELTA"/>
    <x v="22"/>
    <s v="FOR.DELTA-00-44"/>
    <s v="ZAPATO 01-FO-SR Blanco 44"/>
    <s v="ZAPATO 01-FO-SR Blanco 44. FABRICADO EN TEXTIL TRANSPIRABLE CON REFUERZO EN PUNTERA. PUNTERA DE No lleva. PLANTILLA No lleva. SUELA DE EVA/CAUCHO-NITRILO"/>
    <s v="Zapato 01-Fo-Sr Blanco 44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4"/>
    <n v="8457780337352"/>
    <s v="18457780337359"/>
    <s v="https://forli.es/neo-sanitario/374-11068-DELTA.html#/27-talla-35/48-color-blanco"/>
    <m/>
  </r>
  <r>
    <s v="FOR.DELTA"/>
    <x v="22"/>
    <s v="FOR.DELTA-00-45"/>
    <s v="ZAPATO 01-FO-SR Blanco 45"/>
    <s v="ZAPATO 01-FO-SR Blanco 45. FABRICADO EN TEXTIL TRANSPIRABLE CON REFUERZO EN PUNTERA. PUNTERA DE No lleva. PLANTILLA No lleva. SUELA DE EVA/CAUCHO-NITRILO"/>
    <s v="Zapato 01-Fo-Sr Blanco 45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5"/>
    <n v="8457780337369"/>
    <s v="18457780337366"/>
    <s v="https://forli.es/neo-sanitario/374-11068-DELTA.html#/27-talla-35/48-color-blanco"/>
    <m/>
  </r>
  <r>
    <s v="FOR.DELTA"/>
    <x v="22"/>
    <s v="FOR.DELTA-00-46"/>
    <s v="ZAPATO 01-FO-SR Blanco 46"/>
    <s v="ZAPATO 01-FO-SR Blanco 46. FABRICADO EN TEXTIL TRANSPIRABLE CON REFUERZO EN PUNTERA. PUNTERA DE No lleva. PLANTILLA No lleva. SUELA DE EVA/CAUCHO-NITRILO"/>
    <s v="Zapato 01-Fo-Sr Blanco 46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6"/>
    <n v="8457780337376"/>
    <s v="18457780337373"/>
    <s v="https://forli.es/neo-sanitario/374-11068-DELTA.html#/27-talla-35/48-color-blanco"/>
    <m/>
  </r>
  <r>
    <s v="FOR.DELTA"/>
    <x v="22"/>
    <s v="FOR.DELTA-00-47"/>
    <s v="ZAPATO 01-FO-SR Blanco 47"/>
    <s v="ZAPATO 01-FO-SR Blanco 47. FABRICADO EN TEXTIL TRANSPIRABLE CON REFUERZO EN PUNTERA. PUNTERA DE No lleva. PLANTILLA No lleva. SUELA DE EVA/CAUCHO-NITRILO"/>
    <s v="Zapato 01-Fo-Sr Blanco 47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7"/>
    <n v="8457780337383"/>
    <s v="18457780337380"/>
    <s v="https://forli.es/neo-sanitario/374-11068-DELTA.html#/27-talla-35/48-color-blanco"/>
    <m/>
  </r>
  <r>
    <s v="FOR.DELTA"/>
    <x v="22"/>
    <s v="FOR.DELTA-00-48"/>
    <s v="ZAPATO 01-FO-SR Blanco 48"/>
    <s v="ZAPATO 01-FO-SR Blanco 48. FABRICADO EN TEXTIL TRANSPIRABLE CON REFUERZO EN PUNTERA. PUNTERA DE No lleva. PLANTILLA No lleva. SUELA DE EVA/CAUCHO-NITRILO"/>
    <s v="Zapato 01-Fo-Sr Blanco 48. Fabricado En Textil Transpirable Con Refuerzo En Puntera. Puntera De No Lleva. Plantilla No Lleva. Suela De Eva/Caucho-Nitrilo"/>
    <n v="26.5"/>
    <x v="3"/>
    <x v="0"/>
    <s v="BLANCO"/>
    <s v="TEXTIL TRANSPIRABLE CON REFUERZO EN PUNTERA"/>
    <s v="No lleva"/>
    <s v="No lleva"/>
    <s v="EVA/CAUCHO-NITRILO"/>
    <n v="48"/>
    <n v="8457780337390"/>
    <s v="18457780337397"/>
    <s v="https://forli.es/neo-sanitario/374-11068-DELTA.html#/27-talla-35/48-color-blanco"/>
    <m/>
  </r>
  <r>
    <s v="FOR.TUCSON"/>
    <x v="23"/>
    <s v="FOR.TUCSON-99-35"/>
    <s v="ZAPATO 01-FO-SR Negro 35"/>
    <s v="ZAPATO 01-FO-SR Negro 35. FABRICADO EN TEXTIL TRANSPIRABLE CON REFUERZO EN PUNTERA. PUNTERA DE No lleva. PLANTILLA No lleva. SUELA DE EVA/CAUCHO-NITRILO"/>
    <s v="Zapato 01-Fo-Sr Negro 35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35"/>
    <n v="8457780313806"/>
    <s v="18457780313803"/>
    <s v="https://forli.es/neo-sanitario/375-11082-TUCSON.html#/27-talla-35/42-color-negro_black"/>
    <m/>
  </r>
  <r>
    <s v="FOR.TUCSON"/>
    <x v="23"/>
    <s v="FOR.TUCSON-99-36"/>
    <s v="ZAPATO 01-FO-SR Negro 36"/>
    <s v="ZAPATO 01-FO-SR Negro 36. FABRICADO EN TEXTIL TRANSPIRABLE CON REFUERZO EN PUNTERA. PUNTERA DE No lleva. PLANTILLA No lleva. SUELA DE EVA/CAUCHO-NITRILO"/>
    <s v="Zapato 01-Fo-Sr Negro 36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36"/>
    <n v="8457780313813"/>
    <s v="18457780313810"/>
    <s v="https://forli.es/neo-sanitario/375-11082-TUCSON.html#/27-talla-35/42-color-negro_black"/>
    <m/>
  </r>
  <r>
    <s v="FOR.TUCSON"/>
    <x v="23"/>
    <s v="FOR.TUCSON-99-37"/>
    <s v="ZAPATO 01-FO-SR Negro 37"/>
    <s v="ZAPATO 01-FO-SR Negro 37. FABRICADO EN TEXTIL TRANSPIRABLE CON REFUERZO EN PUNTERA. PUNTERA DE No lleva. PLANTILLA No lleva. SUELA DE EVA/CAUCHO-NITRILO"/>
    <s v="Zapato 01-Fo-Sr Negro 37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37"/>
    <n v="8457780313820"/>
    <s v="18457780313827"/>
    <s v="https://forli.es/neo-sanitario/375-11082-TUCSON.html#/27-talla-35/42-color-negro_black"/>
    <m/>
  </r>
  <r>
    <s v="FOR.TUCSON"/>
    <x v="23"/>
    <s v="FOR.TUCSON-99-38"/>
    <s v="ZAPATO 01-FO-SR Negro 38"/>
    <s v="ZAPATO 01-FO-SR Negro 38. FABRICADO EN TEXTIL TRANSPIRABLE CON REFUERZO EN PUNTERA. PUNTERA DE No lleva. PLANTILLA No lleva. SUELA DE EVA/CAUCHO-NITRILO"/>
    <s v="Zapato 01-Fo-Sr Negro 38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38"/>
    <n v="8457780313837"/>
    <s v="18457780313834"/>
    <s v="https://forli.es/neo-sanitario/375-11082-TUCSON.html#/27-talla-35/42-color-negro_black"/>
    <m/>
  </r>
  <r>
    <s v="FOR.TUCSON"/>
    <x v="23"/>
    <s v="FOR.TUCSON-99-39"/>
    <s v="ZAPATO 01-FO-SR Negro 39"/>
    <s v="ZAPATO 01-FO-SR Negro 39. FABRICADO EN TEXTIL TRANSPIRABLE CON REFUERZO EN PUNTERA. PUNTERA DE No lleva. PLANTILLA No lleva. SUELA DE EVA/CAUCHO-NITRILO"/>
    <s v="Zapato 01-Fo-Sr Negro 39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39"/>
    <n v="8457780313844"/>
    <s v="18457780313841"/>
    <s v="https://forli.es/neo-sanitario/375-11082-TUCSON.html#/27-talla-35/42-color-negro_black"/>
    <m/>
  </r>
  <r>
    <s v="FOR.TUCSON"/>
    <x v="23"/>
    <s v="FOR.TUCSON-99-40"/>
    <s v="ZAPATO 01-FO-SR Negro 40"/>
    <s v="ZAPATO 01-FO-SR Negro 40. FABRICADO EN TEXTIL TRANSPIRABLE CON REFUERZO EN PUNTERA. PUNTERA DE No lleva. PLANTILLA No lleva. SUELA DE EVA/CAUCHO-NITRILO"/>
    <s v="Zapato 01-Fo-Sr Negro 40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0"/>
    <n v="8457780313851"/>
    <s v="18457780313858"/>
    <s v="https://forli.es/neo-sanitario/375-11082-TUCSON.html#/27-talla-35/42-color-negro_black"/>
    <m/>
  </r>
  <r>
    <s v="FOR.TUCSON"/>
    <x v="23"/>
    <s v="FOR.TUCSON-99-41"/>
    <s v="ZAPATO 01-FO-SR Negro 41"/>
    <s v="ZAPATO 01-FO-SR Negro 41. FABRICADO EN TEXTIL TRANSPIRABLE CON REFUERZO EN PUNTERA. PUNTERA DE No lleva. PLANTILLA No lleva. SUELA DE EVA/CAUCHO-NITRILO"/>
    <s v="Zapato 01-Fo-Sr Negro 41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1"/>
    <n v="8457780313868"/>
    <s v="18457780313865"/>
    <s v="https://forli.es/neo-sanitario/375-11082-TUCSON.html#/27-talla-35/42-color-negro_black"/>
    <m/>
  </r>
  <r>
    <s v="FOR.TUCSON"/>
    <x v="23"/>
    <s v="FOR.TUCSON-99-42"/>
    <s v="ZAPATO 01-FO-SR Negro 42"/>
    <s v="ZAPATO 01-FO-SR Negro 42. FABRICADO EN TEXTIL TRANSPIRABLE CON REFUERZO EN PUNTERA. PUNTERA DE No lleva. PLANTILLA No lleva. SUELA DE EVA/CAUCHO-NITRILO"/>
    <s v="Zapato 01-Fo-Sr Negro 42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2"/>
    <n v="8457780313875"/>
    <s v="18457780313872"/>
    <s v="https://forli.es/neo-sanitario/375-11082-TUCSON.html#/27-talla-35/42-color-negro_black"/>
    <m/>
  </r>
  <r>
    <s v="FOR.TUCSON"/>
    <x v="23"/>
    <s v="FOR.TUCSON-99-43"/>
    <s v="ZAPATO 01-FO-SR Negro 43"/>
    <s v="ZAPATO 01-FO-SR Negro 43. FABRICADO EN TEXTIL TRANSPIRABLE CON REFUERZO EN PUNTERA. PUNTERA DE No lleva. PLANTILLA No lleva. SUELA DE EVA/CAUCHO-NITRILO"/>
    <s v="Zapato 01-Fo-Sr Negro 43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3"/>
    <n v="8457780313882"/>
    <s v="18457780313889"/>
    <s v="https://forli.es/neo-sanitario/375-11082-TUCSON.html#/27-talla-35/42-color-negro_black"/>
    <m/>
  </r>
  <r>
    <s v="FOR.TUCSON"/>
    <x v="23"/>
    <s v="FOR.TUCSON-99-44"/>
    <s v="ZAPATO 01-FO-SR Negro 44"/>
    <s v="ZAPATO 01-FO-SR Negro 44. FABRICADO EN TEXTIL TRANSPIRABLE CON REFUERZO EN PUNTERA. PUNTERA DE No lleva. PLANTILLA No lleva. SUELA DE EVA/CAUCHO-NITRILO"/>
    <s v="Zapato 01-Fo-Sr Negro 44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4"/>
    <n v="8457780313899"/>
    <s v="18457780313896"/>
    <s v="https://forli.es/neo-sanitario/375-11082-TUCSON.html#/27-talla-35/42-color-negro_black"/>
    <m/>
  </r>
  <r>
    <s v="FOR.TUCSON"/>
    <x v="23"/>
    <s v="FOR.TUCSON-99-45"/>
    <s v="ZAPATO 01-FO-SR Negro 45"/>
    <s v="ZAPATO 01-FO-SR Negro 45. FABRICADO EN TEXTIL TRANSPIRABLE CON REFUERZO EN PUNTERA. PUNTERA DE No lleva. PLANTILLA No lleva. SUELA DE EVA/CAUCHO-NITRILO"/>
    <s v="Zapato 01-Fo-Sr Negro 45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5"/>
    <n v="8457780313905"/>
    <s v="18457780313902"/>
    <s v="https://forli.es/neo-sanitario/375-11082-TUCSON.html#/27-talla-35/42-color-negro_black"/>
    <m/>
  </r>
  <r>
    <s v="FOR.TUCSON"/>
    <x v="23"/>
    <s v="FOR.TUCSON-99-46"/>
    <s v="ZAPATO 01-FO-SR Negro 46"/>
    <s v="ZAPATO 01-FO-SR Negro 46. FABRICADO EN TEXTIL TRANSPIRABLE CON REFUERZO EN PUNTERA. PUNTERA DE No lleva. PLANTILLA No lleva. SUELA DE EVA/CAUCHO-NITRILO"/>
    <s v="Zapato 01-Fo-Sr Negro 46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6"/>
    <n v="8457780313912"/>
    <s v="18457780313919"/>
    <s v="https://forli.es/neo-sanitario/375-11082-TUCSON.html#/27-talla-35/42-color-negro_black"/>
    <m/>
  </r>
  <r>
    <s v="FOR.TUCSON"/>
    <x v="23"/>
    <s v="FOR.TUCSON-99-47"/>
    <s v="ZAPATO 01-FO-SR Negro 47"/>
    <s v="ZAPATO 01-FO-SR Negro 47. FABRICADO EN TEXTIL TRANSPIRABLE CON REFUERZO EN PUNTERA. PUNTERA DE No lleva. PLANTILLA No lleva. SUELA DE EVA/CAUCHO-NITRILO"/>
    <s v="Zapato 01-Fo-Sr Negro 47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7"/>
    <n v="8457780313929"/>
    <s v="18457780313926"/>
    <s v="https://forli.es/neo-sanitario/375-11082-TUCSON.html#/27-talla-35/42-color-negro_black"/>
    <m/>
  </r>
  <r>
    <s v="FOR.TUCSON"/>
    <x v="23"/>
    <s v="FOR.TUCSON-99-48"/>
    <s v="ZAPATO 01-FO-SR Negro 48"/>
    <s v="ZAPATO 01-FO-SR Negro 48. FABRICADO EN TEXTIL TRANSPIRABLE CON REFUERZO EN PUNTERA. PUNTERA DE No lleva. PLANTILLA No lleva. SUELA DE EVA/CAUCHO-NITRILO"/>
    <s v="Zapato 01-Fo-Sr Negro 48. Fabricado En Textil Transpirable Con Refuerzo En Puntera. Puntera De No Lleva. Plantilla No Lleva. Suela De Eva/Caucho-Nitrilo"/>
    <n v="26.5"/>
    <x v="3"/>
    <x v="0"/>
    <s v="NEGRO"/>
    <s v="TEXTIL TRANSPIRABLE CON REFUERZO EN PUNTERA"/>
    <s v="No lleva"/>
    <s v="No lleva"/>
    <s v="EVA/CAUCHO-NITRILO"/>
    <n v="48"/>
    <n v="8457780313936"/>
    <s v="18457780313933"/>
    <s v="https://forli.es/neo-sanitario/375-11082-TUCSON.html#/27-talla-35/42-color-negro_black"/>
    <m/>
  </r>
  <r>
    <s v="FOR.FRESNO"/>
    <x v="24"/>
    <s v="FOR.FRESNO-00-35"/>
    <s v="ZAPATO MF O1+CI+SRC Blanco 35"/>
    <s v="ZAPATO MF O1+CI+SRC Blanco 35. FABRICADO EN MICROFIBRA. PUNTERA DE No lleva. PLANTILLA No lleva. SUELA DE PU "/>
    <s v="Zapato Mf O1+Ci+Src Blanco 35. Fabricado En Microfibra. Puntera De No Lleva. Plantilla No Lleva. Suela De Pu "/>
    <n v="13.25"/>
    <x v="3"/>
    <x v="0"/>
    <s v="BLANCO"/>
    <s v="MICROFIBRA"/>
    <s v="No lleva"/>
    <s v="No lleva"/>
    <s v="PU "/>
    <n v="35"/>
    <n v="8457780313240"/>
    <s v="18457780313247"/>
    <s v="https://forli.es/calzado-de-seguridad-ocupacional/337-3017-FRESNO.html#/27-talla-35/48-color-blanco"/>
    <s v="https://forli.es/index.php?controller=attachment&amp;id_attachment=119"/>
  </r>
  <r>
    <s v="FOR.FRESNO"/>
    <x v="24"/>
    <s v="FOR.FRESNO-00-36"/>
    <s v="ZAPATO MF O1+CI+SRC Blanco 36"/>
    <s v="ZAPATO MF O1+CI+SRC Blanco 36. FABRICADO EN MICROFIBRA. PUNTERA DE No lleva. PLANTILLA No lleva. SUELA DE PU "/>
    <s v="Zapato Mf O1+Ci+Src Blanco 36. Fabricado En Microfibra. Puntera De No Lleva. Plantilla No Lleva. Suela De Pu "/>
    <n v="13.25"/>
    <x v="3"/>
    <x v="0"/>
    <s v="BLANCO"/>
    <s v="MICROFIBRA"/>
    <s v="No lleva"/>
    <s v="No lleva"/>
    <s v="PU "/>
    <n v="36"/>
    <n v="8457780313257"/>
    <s v="18457780313254"/>
    <s v="https://forli.es/calzado-de-seguridad-ocupacional/337-3017-FRESNO.html#/27-talla-35/48-color-blanco"/>
    <s v="https://forli.es/index.php?controller=attachment&amp;id_attachment=119"/>
  </r>
  <r>
    <s v="FOR.FRESNO"/>
    <x v="24"/>
    <s v="FOR.FRESNO-00-37"/>
    <s v="ZAPATO MF O1+CI+SRC Blanco 37"/>
    <s v="ZAPATO MF O1+CI+SRC Blanco 37. FABRICADO EN MICROFIBRA. PUNTERA DE No lleva. PLANTILLA No lleva. SUELA DE PU "/>
    <s v="Zapato Mf O1+Ci+Src Blanco 37. Fabricado En Microfibra. Puntera De No Lleva. Plantilla No Lleva. Suela De Pu "/>
    <n v="13.25"/>
    <x v="3"/>
    <x v="0"/>
    <s v="BLANCO"/>
    <s v="MICROFIBRA"/>
    <s v="No lleva"/>
    <s v="No lleva"/>
    <s v="PU "/>
    <n v="37"/>
    <n v="8457780313264"/>
    <s v="18457780313261"/>
    <s v="https://forli.es/calzado-de-seguridad-ocupacional/337-3017-FRESNO.html#/27-talla-35/48-color-blanco"/>
    <s v="https://forli.es/index.php?controller=attachment&amp;id_attachment=119"/>
  </r>
  <r>
    <s v="FOR.FRESNO"/>
    <x v="24"/>
    <s v="FOR.FRESNO-00-38"/>
    <s v="ZAPATO MF O1+CI+SRC Blanco 38"/>
    <s v="ZAPATO MF O1+CI+SRC Blanco 38. FABRICADO EN MICROFIBRA. PUNTERA DE No lleva. PLANTILLA No lleva. SUELA DE PU "/>
    <s v="Zapato Mf O1+Ci+Src Blanco 38. Fabricado En Microfibra. Puntera De No Lleva. Plantilla No Lleva. Suela De Pu "/>
    <n v="13.25"/>
    <x v="3"/>
    <x v="0"/>
    <s v="BLANCO"/>
    <s v="MICROFIBRA"/>
    <s v="No lleva"/>
    <s v="No lleva"/>
    <s v="PU "/>
    <n v="38"/>
    <n v="8457780313271"/>
    <s v="18457780313278"/>
    <s v="https://forli.es/calzado-de-seguridad-ocupacional/337-3017-FRESNO.html#/27-talla-35/48-color-blanco"/>
    <s v="https://forli.es/index.php?controller=attachment&amp;id_attachment=119"/>
  </r>
  <r>
    <s v="FOR.FRESNO"/>
    <x v="24"/>
    <s v="FOR.FRESNO-00-39"/>
    <s v="ZAPATO MF O1+CI+SRC Blanco 39"/>
    <s v="ZAPATO MF O1+CI+SRC Blanco 39. FABRICADO EN MICROFIBRA. PUNTERA DE No lleva. PLANTILLA No lleva. SUELA DE PU "/>
    <s v="Zapato Mf O1+Ci+Src Blanco 39. Fabricado En Microfibra. Puntera De No Lleva. Plantilla No Lleva. Suela De Pu "/>
    <n v="13.25"/>
    <x v="3"/>
    <x v="0"/>
    <s v="BLANCO"/>
    <s v="MICROFIBRA"/>
    <s v="No lleva"/>
    <s v="No lleva"/>
    <s v="PU "/>
    <n v="39"/>
    <n v="8457780313288"/>
    <s v="18457780313285"/>
    <s v="https://forli.es/calzado-de-seguridad-ocupacional/337-3017-FRESNO.html#/27-talla-35/48-color-blanco"/>
    <s v="https://forli.es/index.php?controller=attachment&amp;id_attachment=119"/>
  </r>
  <r>
    <s v="FOR.FRESNO"/>
    <x v="24"/>
    <s v="FOR.FRESNO-00-40"/>
    <s v="ZAPATO MF O1+CI+SRC Blanco 40"/>
    <s v="ZAPATO MF O1+CI+SRC Blanco 40. FABRICADO EN MICROFIBRA. PUNTERA DE No lleva. PLANTILLA No lleva. SUELA DE PU "/>
    <s v="Zapato Mf O1+Ci+Src Blanco 40. Fabricado En Microfibra. Puntera De No Lleva. Plantilla No Lleva. Suela De Pu "/>
    <n v="13.25"/>
    <x v="3"/>
    <x v="0"/>
    <s v="BLANCO"/>
    <s v="MICROFIBRA"/>
    <s v="No lleva"/>
    <s v="No lleva"/>
    <s v="PU "/>
    <n v="40"/>
    <n v="8457780313295"/>
    <s v="18457780313292"/>
    <s v="https://forli.es/calzado-de-seguridad-ocupacional/337-3017-FRESNO.html#/27-talla-35/48-color-blanco"/>
    <s v="https://forli.es/index.php?controller=attachment&amp;id_attachment=119"/>
  </r>
  <r>
    <s v="FOR.FRESNO"/>
    <x v="24"/>
    <s v="FOR.FRESNO-00-41"/>
    <s v="ZAPATO MF O1+CI+SRC Blanco 41"/>
    <s v="ZAPATO MF O1+CI+SRC Blanco 41. FABRICADO EN MICROFIBRA. PUNTERA DE No lleva. PLANTILLA No lleva. SUELA DE PU "/>
    <s v="Zapato Mf O1+Ci+Src Blanco 41. Fabricado En Microfibra. Puntera De No Lleva. Plantilla No Lleva. Suela De Pu "/>
    <n v="13.25"/>
    <x v="3"/>
    <x v="0"/>
    <s v="BLANCO"/>
    <s v="MICROFIBRA"/>
    <s v="No lleva"/>
    <s v="No lleva"/>
    <s v="PU "/>
    <n v="41"/>
    <n v="8457780313301"/>
    <s v="18457780313308"/>
    <s v="https://forli.es/calzado-de-seguridad-ocupacional/337-3017-FRESNO.html#/27-talla-35/48-color-blanco"/>
    <s v="https://forli.es/index.php?controller=attachment&amp;id_attachment=119"/>
  </r>
  <r>
    <s v="FOR.FRESNO"/>
    <x v="24"/>
    <s v="FOR.FRESNO-00-42"/>
    <s v="ZAPATO MF O1+CI+SRC Blanco 42"/>
    <s v="ZAPATO MF O1+CI+SRC Blanco 42. FABRICADO EN MICROFIBRA. PUNTERA DE No lleva. PLANTILLA No lleva. SUELA DE PU "/>
    <s v="Zapato Mf O1+Ci+Src Blanco 42. Fabricado En Microfibra. Puntera De No Lleva. Plantilla No Lleva. Suela De Pu "/>
    <n v="13.25"/>
    <x v="3"/>
    <x v="0"/>
    <s v="BLANCO"/>
    <s v="MICROFIBRA"/>
    <s v="No lleva"/>
    <s v="No lleva"/>
    <s v="PU "/>
    <n v="42"/>
    <n v="8457780313318"/>
    <s v="18457780313315"/>
    <s v="https://forli.es/calzado-de-seguridad-ocupacional/337-3017-FRESNO.html#/27-talla-35/48-color-blanco"/>
    <s v="https://forli.es/index.php?controller=attachment&amp;id_attachment=119"/>
  </r>
  <r>
    <s v="FOR.FRESNO"/>
    <x v="24"/>
    <s v="FOR.FRESNO-00-43"/>
    <s v="ZAPATO MF O1+CI+SRC Blanco 43"/>
    <s v="ZAPATO MF O1+CI+SRC Blanco 43. FABRICADO EN MICROFIBRA. PUNTERA DE No lleva. PLANTILLA No lleva. SUELA DE PU "/>
    <s v="Zapato Mf O1+Ci+Src Blanco 43. Fabricado En Microfibra. Puntera De No Lleva. Plantilla No Lleva. Suela De Pu "/>
    <n v="13.25"/>
    <x v="3"/>
    <x v="0"/>
    <s v="BLANCO"/>
    <s v="MICROFIBRA"/>
    <s v="No lleva"/>
    <s v="No lleva"/>
    <s v="PU "/>
    <n v="43"/>
    <n v="8457780313325"/>
    <s v="18457780313322"/>
    <s v="https://forli.es/calzado-de-seguridad-ocupacional/337-3017-FRESNO.html#/27-talla-35/48-color-blanco"/>
    <s v="https://forli.es/index.php?controller=attachment&amp;id_attachment=119"/>
  </r>
  <r>
    <s v="FOR.FRESNO"/>
    <x v="24"/>
    <s v="FOR.FRESNO-00-44"/>
    <s v="ZAPATO MF O1+CI+SRC Blanco 44"/>
    <s v="ZAPATO MF O1+CI+SRC Blanco 44. FABRICADO EN MICROFIBRA. PUNTERA DE No lleva. PLANTILLA No lleva. SUELA DE PU "/>
    <s v="Zapato Mf O1+Ci+Src Blanco 44. Fabricado En Microfibra. Puntera De No Lleva. Plantilla No Lleva. Suela De Pu "/>
    <n v="13.25"/>
    <x v="3"/>
    <x v="0"/>
    <s v="BLANCO"/>
    <s v="MICROFIBRA"/>
    <s v="No lleva"/>
    <s v="No lleva"/>
    <s v="PU "/>
    <n v="44"/>
    <n v="8457780313332"/>
    <s v="18457780313339"/>
    <s v="https://forli.es/calzado-de-seguridad-ocupacional/337-3017-FRESNO.html#/27-talla-35/48-color-blanco"/>
    <s v="https://forli.es/index.php?controller=attachment&amp;id_attachment=119"/>
  </r>
  <r>
    <s v="FOR.FRESNO"/>
    <x v="24"/>
    <s v="FOR.FRESNO-00-45"/>
    <s v="ZAPATO MF O1+CI+SRC Blanco 45"/>
    <s v="ZAPATO MF O1+CI+SRC Blanco 45. FABRICADO EN MICROFIBRA. PUNTERA DE No lleva. PLANTILLA No lleva. SUELA DE PU "/>
    <s v="Zapato Mf O1+Ci+Src Blanco 45. Fabricado En Microfibra. Puntera De No Lleva. Plantilla No Lleva. Suela De Pu "/>
    <n v="13.25"/>
    <x v="3"/>
    <x v="0"/>
    <s v="BLANCO"/>
    <s v="MICROFIBRA"/>
    <s v="No lleva"/>
    <s v="No lleva"/>
    <s v="PU "/>
    <n v="45"/>
    <n v="8457780313349"/>
    <s v="18457780313346"/>
    <s v="https://forli.es/calzado-de-seguridad-ocupacional/337-3017-FRESNO.html#/27-talla-35/48-color-blanco"/>
    <s v="https://forli.es/index.php?controller=attachment&amp;id_attachment=119"/>
  </r>
  <r>
    <s v="FOR.FRESNO"/>
    <x v="24"/>
    <s v="FOR.FRESNO-00-46"/>
    <s v="ZAPATO MF O1+CI+SRC Blanco 46"/>
    <s v="ZAPATO MF O1+CI+SRC Blanco 46. FABRICADO EN MICROFIBRA. PUNTERA DE No lleva. PLANTILLA No lleva. SUELA DE PU "/>
    <s v="Zapato Mf O1+Ci+Src Blanco 46. Fabricado En Microfibra. Puntera De No Lleva. Plantilla No Lleva. Suela De Pu "/>
    <n v="13.25"/>
    <x v="3"/>
    <x v="0"/>
    <s v="BLANCO"/>
    <s v="MICROFIBRA"/>
    <s v="No lleva"/>
    <s v="No lleva"/>
    <s v="PU "/>
    <n v="46"/>
    <n v="8457780313356"/>
    <s v="18457780313353"/>
    <s v="https://forli.es/calzado-de-seguridad-ocupacional/337-3017-FRESNO.html#/27-talla-35/48-color-blanco"/>
    <s v="https://forli.es/index.php?controller=attachment&amp;id_attachment=119"/>
  </r>
  <r>
    <s v="FOR.FRESNO"/>
    <x v="24"/>
    <s v="FOR.FRESNO-00-47"/>
    <s v="ZAPATO MF O1+CI+SRC Blanco 47"/>
    <s v="ZAPATO MF O1+CI+SRC Blanco 47. FABRICADO EN MICROFIBRA. PUNTERA DE No lleva. PLANTILLA No lleva. SUELA DE PU "/>
    <s v="Zapato Mf O1+Ci+Src Blanco 47. Fabricado En Microfibra. Puntera De No Lleva. Plantilla No Lleva. Suela De Pu "/>
    <n v="13.25"/>
    <x v="3"/>
    <x v="0"/>
    <s v="BLANCO"/>
    <s v="MICROFIBRA"/>
    <s v="No lleva"/>
    <s v="No lleva"/>
    <s v="PU "/>
    <n v="47"/>
    <n v="8457780313363"/>
    <s v="18457780313360"/>
    <s v="https://forli.es/calzado-de-seguridad-ocupacional/337-3017-FRESNO.html#/27-talla-35/48-color-blanco"/>
    <s v="https://forli.es/index.php?controller=attachment&amp;id_attachment=119"/>
  </r>
  <r>
    <s v="FOR.FRESNO"/>
    <x v="24"/>
    <s v="FOR.FRESNO-00-48"/>
    <s v="ZAPATO MF O1+CI+SRC Blanco 48"/>
    <s v="ZAPATO MF O1+CI+SRC Blanco 48. FABRICADO EN MICROFIBRA. PUNTERA DE No lleva. PLANTILLA No lleva. SUELA DE PU "/>
    <s v="Zapato Mf O1+Ci+Src Blanco 48. Fabricado En Microfibra. Puntera De No Lleva. Plantilla No Lleva. Suela De Pu "/>
    <n v="13.25"/>
    <x v="3"/>
    <x v="0"/>
    <s v="BLANCO"/>
    <s v="MICROFIBRA"/>
    <s v="No lleva"/>
    <s v="No lleva"/>
    <s v="PU "/>
    <n v="48"/>
    <n v="8457780313370"/>
    <s v="18457780313377"/>
    <s v="https://forli.es/calzado-de-seguridad-ocupacional/337-3017-FRESNO.html#/27-talla-35/48-color-blanco"/>
    <s v="https://forli.es/index.php?controller=attachment&amp;id_attachment=119"/>
  </r>
  <r>
    <s v="FOR.FARGO"/>
    <x v="25"/>
    <s v="FOR.FARGO-00-35"/>
    <s v="ZAPATO MF O2+CI+SRC Blanco 35"/>
    <s v="ZAPATO MF O2+CI+SRC Blanco 35. FABRICADO EN MICROFIBRA. PUNTERA DE No lleva. PLANTILLA No lleva. SUELA DE PU/PU DOBLE DENSIDAD"/>
    <s v="Zapato Mf O2+Ci+Src Blanco 35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35"/>
    <n v="8457780313387"/>
    <s v="18457780313384"/>
    <s v="https://forli.es/white-metal-free/339-3045-FARGO.html#/27-talla-35/48-color-blanco"/>
    <s v="https://forli.es/index.php?controller=attachment&amp;id_attachment=121"/>
  </r>
  <r>
    <s v="FOR.FARGO"/>
    <x v="25"/>
    <s v="FOR.FARGO-00-36"/>
    <s v="ZAPATO MF O2+CI+SRC Blanco 36"/>
    <s v="ZAPATO MF O2+CI+SRC Blanco 36. FABRICADO EN MICROFIBRA. PUNTERA DE No lleva. PLANTILLA No lleva. SUELA DE PU/PU DOBLE DENSIDAD"/>
    <s v="Zapato Mf O2+Ci+Src Blanco 36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36"/>
    <n v="8457780313394"/>
    <s v="18457780313391"/>
    <s v="https://forli.es/white-metal-free/339-3045-FARGO.html#/27-talla-35/48-color-blanco"/>
    <s v="https://forli.es/index.php?controller=attachment&amp;id_attachment=121"/>
  </r>
  <r>
    <s v="FOR.FARGO"/>
    <x v="25"/>
    <s v="FOR.FARGO-00-37"/>
    <s v="ZAPATO MF O2+CI+SRC Blanco 37"/>
    <s v="ZAPATO MF O2+CI+SRC Blanco 37. FABRICADO EN MICROFIBRA. PUNTERA DE No lleva. PLANTILLA No lleva. SUELA DE PU/PU DOBLE DENSIDAD"/>
    <s v="Zapato Mf O2+Ci+Src Blanco 37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37"/>
    <n v="8457780313400"/>
    <s v="18457780313407"/>
    <s v="https://forli.es/white-metal-free/339-3045-FARGO.html#/27-talla-35/48-color-blanco"/>
    <s v="https://forli.es/index.php?controller=attachment&amp;id_attachment=121"/>
  </r>
  <r>
    <s v="FOR.FARGO"/>
    <x v="25"/>
    <s v="FOR.FARGO-00-38"/>
    <s v="ZAPATO MF O2+CI+SRC Blanco 38"/>
    <s v="ZAPATO MF O2+CI+SRC Blanco 38. FABRICADO EN MICROFIBRA. PUNTERA DE No lleva. PLANTILLA No lleva. SUELA DE PU/PU DOBLE DENSIDAD"/>
    <s v="Zapato Mf O2+Ci+Src Blanco 38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38"/>
    <n v="8457780313417"/>
    <s v="18457780313414"/>
    <s v="https://forli.es/white-metal-free/339-3045-FARGO.html#/27-talla-35/48-color-blanco"/>
    <s v="https://forli.es/index.php?controller=attachment&amp;id_attachment=121"/>
  </r>
  <r>
    <s v="FOR.FARGO"/>
    <x v="25"/>
    <s v="FOR.FARGO-00-39"/>
    <s v="ZAPATO MF O2+CI+SRC Blanco 39"/>
    <s v="ZAPATO MF O2+CI+SRC Blanco 39. FABRICADO EN MICROFIBRA. PUNTERA DE No lleva. PLANTILLA No lleva. SUELA DE PU/PU DOBLE DENSIDAD"/>
    <s v="Zapato Mf O2+Ci+Src Blanco 39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39"/>
    <n v="8457780313424"/>
    <s v="18457780313421"/>
    <s v="https://forli.es/white-metal-free/339-3045-FARGO.html#/27-talla-35/48-color-blanco"/>
    <s v="https://forli.es/index.php?controller=attachment&amp;id_attachment=121"/>
  </r>
  <r>
    <s v="FOR.FARGO"/>
    <x v="25"/>
    <s v="FOR.FARGO-00-40"/>
    <s v="ZAPATO MF O2+CI+SRC Blanco 40"/>
    <s v="ZAPATO MF O2+CI+SRC Blanco 40. FABRICADO EN MICROFIBRA. PUNTERA DE No lleva. PLANTILLA No lleva. SUELA DE PU/PU DOBLE DENSIDAD"/>
    <s v="Zapato Mf O2+Ci+Src Blanco 40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0"/>
    <n v="8457780313431"/>
    <s v="18457780313438"/>
    <s v="https://forli.es/white-metal-free/339-3045-FARGO.html#/27-talla-35/48-color-blanco"/>
    <s v="https://forli.es/index.php?controller=attachment&amp;id_attachment=121"/>
  </r>
  <r>
    <s v="FOR.FARGO"/>
    <x v="25"/>
    <s v="FOR.FARGO-00-41"/>
    <s v="ZAPATO MF O2+CI+SRC Blanco 41"/>
    <s v="ZAPATO MF O2+CI+SRC Blanco 41. FABRICADO EN MICROFIBRA. PUNTERA DE No lleva. PLANTILLA No lleva. SUELA DE PU/PU DOBLE DENSIDAD"/>
    <s v="Zapato Mf O2+Ci+Src Blanco 41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1"/>
    <n v="8457780313448"/>
    <s v="18457780313445"/>
    <s v="https://forli.es/white-metal-free/339-3045-FARGO.html#/27-talla-35/48-color-blanco"/>
    <s v="https://forli.es/index.php?controller=attachment&amp;id_attachment=121"/>
  </r>
  <r>
    <s v="FOR.FARGO"/>
    <x v="25"/>
    <s v="FOR.FARGO-00-42"/>
    <s v="ZAPATO MF O2+CI+SRC Blanco 42"/>
    <s v="ZAPATO MF O2+CI+SRC Blanco 42. FABRICADO EN MICROFIBRA. PUNTERA DE No lleva. PLANTILLA No lleva. SUELA DE PU/PU DOBLE DENSIDAD"/>
    <s v="Zapato Mf O2+Ci+Src Blanco 42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2"/>
    <n v="8457780313455"/>
    <s v="18457780313452"/>
    <s v="https://forli.es/white-metal-free/339-3045-FARGO.html#/27-talla-35/48-color-blanco"/>
    <s v="https://forli.es/index.php?controller=attachment&amp;id_attachment=121"/>
  </r>
  <r>
    <s v="FOR.FARGO"/>
    <x v="25"/>
    <s v="FOR.FARGO-00-43"/>
    <s v="ZAPATO MF O2+CI+SRC Blanco 43"/>
    <s v="ZAPATO MF O2+CI+SRC Blanco 43. FABRICADO EN MICROFIBRA. PUNTERA DE No lleva. PLANTILLA No lleva. SUELA DE PU/PU DOBLE DENSIDAD"/>
    <s v="Zapato Mf O2+Ci+Src Blanco 43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3"/>
    <n v="8457780313462"/>
    <s v="18457780313469"/>
    <s v="https://forli.es/white-metal-free/339-3045-FARGO.html#/27-talla-35/48-color-blanco"/>
    <s v="https://forli.es/index.php?controller=attachment&amp;id_attachment=121"/>
  </r>
  <r>
    <s v="FOR.FARGO"/>
    <x v="25"/>
    <s v="FOR.FARGO-00-44"/>
    <s v="ZAPATO MF O2+CI+SRC Blanco 44"/>
    <s v="ZAPATO MF O2+CI+SRC Blanco 44. FABRICADO EN MICROFIBRA. PUNTERA DE No lleva. PLANTILLA No lleva. SUELA DE PU/PU DOBLE DENSIDAD"/>
    <s v="Zapato Mf O2+Ci+Src Blanco 44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4"/>
    <n v="8457780313479"/>
    <s v="18457780313476"/>
    <s v="https://forli.es/white-metal-free/339-3045-FARGO.html#/27-talla-35/48-color-blanco"/>
    <s v="https://forli.es/index.php?controller=attachment&amp;id_attachment=121"/>
  </r>
  <r>
    <s v="FOR.FARGO"/>
    <x v="25"/>
    <s v="FOR.FARGO-00-45"/>
    <s v="ZAPATO MF O2+CI+SRC Blanco 45"/>
    <s v="ZAPATO MF O2+CI+SRC Blanco 45. FABRICADO EN MICROFIBRA. PUNTERA DE No lleva. PLANTILLA No lleva. SUELA DE PU/PU DOBLE DENSIDAD"/>
    <s v="Zapato Mf O2+Ci+Src Blanco 45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5"/>
    <n v="8457780313486"/>
    <s v="18457780313483"/>
    <s v="https://forli.es/white-metal-free/339-3045-FARGO.html#/27-talla-35/48-color-blanco"/>
    <s v="https://forli.es/index.php?controller=attachment&amp;id_attachment=121"/>
  </r>
  <r>
    <s v="FOR.FARGO"/>
    <x v="25"/>
    <s v="FOR.FARGO-00-46"/>
    <s v="ZAPATO MF O2+CI+SRC Blanco 46"/>
    <s v="ZAPATO MF O2+CI+SRC Blanco 46. FABRICADO EN MICROFIBRA. PUNTERA DE No lleva. PLANTILLA No lleva. SUELA DE PU/PU DOBLE DENSIDAD"/>
    <s v="Zapato Mf O2+Ci+Src Blanco 46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6"/>
    <n v="8457780313493"/>
    <s v="18457780313490"/>
    <s v="https://forli.es/white-metal-free/339-3045-FARGO.html#/27-talla-35/48-color-blanco"/>
    <s v="https://forli.es/index.php?controller=attachment&amp;id_attachment=121"/>
  </r>
  <r>
    <s v="FOR.FARGO"/>
    <x v="25"/>
    <s v="FOR.FARGO-00-47"/>
    <s v="ZAPATO MF O2+CI+SRC Blanco 47"/>
    <s v="ZAPATO MF O2+CI+SRC Blanco 47. FABRICADO EN MICROFIBRA. PUNTERA DE No lleva. PLANTILLA No lleva. SUELA DE PU/PU DOBLE DENSIDAD"/>
    <s v="Zapato Mf O2+Ci+Src Blanco 47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7"/>
    <n v="8457780313509"/>
    <s v="18457780313506"/>
    <s v="https://forli.es/white-metal-free/339-3045-FARGO.html#/27-talla-35/48-color-blanco"/>
    <s v="https://forli.es/index.php?controller=attachment&amp;id_attachment=121"/>
  </r>
  <r>
    <s v="FOR.FARGO"/>
    <x v="25"/>
    <s v="FOR.FARGO-00-48"/>
    <s v="ZAPATO MF O2+CI+SRC Blanco 48"/>
    <s v="ZAPATO MF O2+CI+SRC Blanco 48. FABRICADO EN MICROFIBRA. PUNTERA DE No lleva. PLANTILLA No lleva. SUELA DE PU/PU DOBLE DENSIDAD"/>
    <s v="Zapato Mf O2+Ci+Src Blanco 48. Fabricado En Microfibra. Puntera De No Lleva. Plantilla No Lleva. Suela De Pu/Pu Doble Densidad"/>
    <n v="16.95"/>
    <x v="3"/>
    <x v="0"/>
    <s v="BLANCO"/>
    <s v="MICROFIBRA"/>
    <s v="No lleva"/>
    <s v="No lleva"/>
    <s v="PU/PU DOBLE DENSIDAD"/>
    <n v="48"/>
    <n v="8457780313516"/>
    <s v="18457780313513"/>
    <s v="https://forli.es/white-metal-free/339-3045-FARGO.html#/27-talla-35/48-color-blanco"/>
    <s v="https://forli.es/index.php?controller=attachment&amp;id_attachment=121"/>
  </r>
  <r>
    <s v="FOR.DOVERBL"/>
    <x v="26"/>
    <s v="FOR.DOVERBL-00-35"/>
    <s v="ZAPATO MF O2+FO+SR Blanco 35"/>
    <s v="ZAPATO MF O2+FO+SR Blanco 35. FABRICADO EN MICROFIBRA. PUNTERA DE No lleva. PLANTILLA No lleva. SUELA DE EVA/CAUCHO-NITRILO"/>
    <s v="Zapato Mf O2+Fo+Sr Blanco 35. Fabricado En Microfibra. Puntera De No Lleva. Plantilla No Lleva. Suela De Eva/Caucho-Nitrilo"/>
    <n v="29.56"/>
    <x v="3"/>
    <x v="0"/>
    <s v="BLANCO"/>
    <s v="MICROFIBRA"/>
    <s v="No lleva"/>
    <s v="No lleva"/>
    <s v="EVA/CAUCHO-NITRILO"/>
    <n v="35"/>
    <n v="8457780315541"/>
    <s v="18457780315548"/>
    <s v="https://forli.es/neo-sanitario/344-3115-DOVERBL.html#/27-talla-35/48-color-blanco"/>
    <s v="https://forli.es/index.php?controller=attachment&amp;id_attachment=168"/>
  </r>
  <r>
    <s v="FOR.DOVERBL"/>
    <x v="26"/>
    <s v="FOR.DOVERBL-00-36"/>
    <s v="ZAPATO MF O2+FO+SR Blanco 36"/>
    <s v="ZAPATO MF O2+FO+SR Blanco 36. FABRICADO EN MICROFIBRA. PUNTERA DE No lleva. PLANTILLA No lleva. SUELA DE EVA/CAUCHO-NITRILO"/>
    <s v="Zapato Mf O2+Fo+Sr Blanco 36. Fabricado En Microfibra. Puntera De No Lleva. Plantilla No Lleva. Suela De Eva/Caucho-Nitrilo"/>
    <n v="29.56"/>
    <x v="3"/>
    <x v="0"/>
    <s v="BLANCO"/>
    <s v="MICROFIBRA"/>
    <s v="No lleva"/>
    <s v="No lleva"/>
    <s v="EVA/CAUCHO-NITRILO"/>
    <n v="36"/>
    <n v="8457780315558"/>
    <s v="18457780315555"/>
    <s v="https://forli.es/neo-sanitario/344-3115-DOVERBL.html#/27-talla-35/48-color-blanco"/>
    <s v="https://forli.es/index.php?controller=attachment&amp;id_attachment=168"/>
  </r>
  <r>
    <s v="FOR.DOVERBL"/>
    <x v="26"/>
    <s v="FOR.DOVERBL-00-37"/>
    <s v="ZAPATO MF O2+FO+SR Blanco 37"/>
    <s v="ZAPATO MF O2+FO+SR Blanco 37. FABRICADO EN MICROFIBRA. PUNTERA DE No lleva. PLANTILLA No lleva. SUELA DE EVA/CAUCHO-NITRILO"/>
    <s v="Zapato Mf O2+Fo+Sr Blanco 37. Fabricado En Microfibra. Puntera De No Lleva. Plantilla No Lleva. Suela De Eva/Caucho-Nitrilo"/>
    <n v="29.56"/>
    <x v="3"/>
    <x v="0"/>
    <s v="BLANCO"/>
    <s v="MICROFIBRA"/>
    <s v="No lleva"/>
    <s v="No lleva"/>
    <s v="EVA/CAUCHO-NITRILO"/>
    <n v="37"/>
    <n v="8457780315565"/>
    <s v="18457780315562"/>
    <s v="https://forli.es/neo-sanitario/344-3115-DOVERBL.html#/27-talla-35/48-color-blanco"/>
    <s v="https://forli.es/index.php?controller=attachment&amp;id_attachment=168"/>
  </r>
  <r>
    <s v="FOR.DOVERBL"/>
    <x v="26"/>
    <s v="FOR.DOVERBL-00-38"/>
    <s v="ZAPATO MF O2+FO+SR Blanco 38"/>
    <s v="ZAPATO MF O2+FO+SR Blanco 38. FABRICADO EN MICROFIBRA. PUNTERA DE No lleva. PLANTILLA No lleva. SUELA DE EVA/CAUCHO-NITRILO"/>
    <s v="Zapato Mf O2+Fo+Sr Blanco 38. Fabricado En Microfibra. Puntera De No Lleva. Plantilla No Lleva. Suela De Eva/Caucho-Nitrilo"/>
    <n v="29.56"/>
    <x v="3"/>
    <x v="0"/>
    <s v="BLANCO"/>
    <s v="MICROFIBRA"/>
    <s v="No lleva"/>
    <s v="No lleva"/>
    <s v="EVA/CAUCHO-NITRILO"/>
    <n v="38"/>
    <n v="8457780315572"/>
    <s v="18457780315579"/>
    <s v="https://forli.es/neo-sanitario/344-3115-DOVERBL.html#/27-talla-35/48-color-blanco"/>
    <s v="https://forli.es/index.php?controller=attachment&amp;id_attachment=168"/>
  </r>
  <r>
    <s v="FOR.DOVERBL"/>
    <x v="26"/>
    <s v="FOR.DOVERBL-00-39"/>
    <s v="ZAPATO MF O2+FO+SR Blanco 39"/>
    <s v="ZAPATO MF O2+FO+SR Blanco 39. FABRICADO EN MICROFIBRA. PUNTERA DE No lleva. PLANTILLA No lleva. SUELA DE EVA/CAUCHO-NITRILO"/>
    <s v="Zapato Mf O2+Fo+Sr Blanco 39. Fabricado En Microfibra. Puntera De No Lleva. Plantilla No Lleva. Suela De Eva/Caucho-Nitrilo"/>
    <n v="29.56"/>
    <x v="3"/>
    <x v="0"/>
    <s v="BLANCO"/>
    <s v="MICROFIBRA"/>
    <s v="No lleva"/>
    <s v="No lleva"/>
    <s v="EVA/CAUCHO-NITRILO"/>
    <n v="39"/>
    <n v="8457780315589"/>
    <s v="18457780315586"/>
    <s v="https://forli.es/neo-sanitario/344-3115-DOVERBL.html#/27-talla-35/48-color-blanco"/>
    <s v="https://forli.es/index.php?controller=attachment&amp;id_attachment=168"/>
  </r>
  <r>
    <s v="FOR.DOVERBL"/>
    <x v="26"/>
    <s v="FOR.DOVERBL-00-40"/>
    <s v="ZAPATO MF O2+FO+SR Blanco 40"/>
    <s v="ZAPATO MF O2+FO+SR Blanco 40. FABRICADO EN MICROFIBRA. PUNTERA DE No lleva. PLANTILLA No lleva. SUELA DE EVA/CAUCHO-NITRILO"/>
    <s v="Zapato Mf O2+Fo+Sr Blanco 40. Fabricado En Microfibra. Puntera De No Lleva. Plantilla No Lleva. Suela De Eva/Caucho-Nitrilo"/>
    <n v="29.56"/>
    <x v="3"/>
    <x v="0"/>
    <s v="BLANCO"/>
    <s v="MICROFIBRA"/>
    <s v="No lleva"/>
    <s v="No lleva"/>
    <s v="EVA/CAUCHO-NITRILO"/>
    <n v="40"/>
    <n v="8457780315596"/>
    <s v="18457780315593"/>
    <s v="https://forli.es/neo-sanitario/344-3115-DOVERBL.html#/27-talla-35/48-color-blanco"/>
    <s v="https://forli.es/index.php?controller=attachment&amp;id_attachment=168"/>
  </r>
  <r>
    <s v="FOR.DOVERBL"/>
    <x v="26"/>
    <s v="FOR.DOVERBL-00-41"/>
    <s v="ZAPATO MF O2+FO+SR Blanco 41"/>
    <s v="ZAPATO MF O2+FO+SR Blanco 41. FABRICADO EN MICROFIBRA. PUNTERA DE No lleva. PLANTILLA No lleva. SUELA DE EVA/CAUCHO-NITRILO"/>
    <s v="Zapato Mf O2+Fo+Sr Blanco 41. Fabricado En Microfibra. Puntera De No Lleva. Plantilla No Lleva. Suela De Eva/Caucho-Nitrilo"/>
    <n v="29.56"/>
    <x v="3"/>
    <x v="0"/>
    <s v="BLANCO"/>
    <s v="MICROFIBRA"/>
    <s v="No lleva"/>
    <s v="No lleva"/>
    <s v="EVA/CAUCHO-NITRILO"/>
    <n v="41"/>
    <n v="8457780315602"/>
    <s v="18457780315609"/>
    <s v="https://forli.es/neo-sanitario/344-3115-DOVERBL.html#/27-talla-35/48-color-blanco"/>
    <s v="https://forli.es/index.php?controller=attachment&amp;id_attachment=168"/>
  </r>
  <r>
    <s v="FOR.DOVERBL"/>
    <x v="26"/>
    <s v="FOR.DOVERBL-00-42"/>
    <s v="ZAPATO MF O2+FO+SR Blanco 42"/>
    <s v="ZAPATO MF O2+FO+SR Blanco 42. FABRICADO EN MICROFIBRA. PUNTERA DE No lleva. PLANTILLA No lleva. SUELA DE EVA/CAUCHO-NITRILO"/>
    <s v="Zapato Mf O2+Fo+Sr Blanco 42. Fabricado En Microfibra. Puntera De No Lleva. Plantilla No Lleva. Suela De Eva/Caucho-Nitrilo"/>
    <n v="29.56"/>
    <x v="3"/>
    <x v="0"/>
    <s v="BLANCO"/>
    <s v="MICROFIBRA"/>
    <s v="No lleva"/>
    <s v="No lleva"/>
    <s v="EVA/CAUCHO-NITRILO"/>
    <n v="42"/>
    <n v="8457780315619"/>
    <s v="18457780315616"/>
    <s v="https://forli.es/neo-sanitario/344-3115-DOVERBL.html#/27-talla-35/48-color-blanco"/>
    <s v="https://forli.es/index.php?controller=attachment&amp;id_attachment=168"/>
  </r>
  <r>
    <s v="FOR.DOVERBL"/>
    <x v="26"/>
    <s v="FOR.DOVERBL-00-43"/>
    <s v="ZAPATO MF O2+FO+SR Blanco 43"/>
    <s v="ZAPATO MF O2+FO+SR Blanco 43. FABRICADO EN MICROFIBRA. PUNTERA DE No lleva. PLANTILLA No lleva. SUELA DE EVA/CAUCHO-NITRILO"/>
    <s v="Zapato Mf O2+Fo+Sr Blanco 43. Fabricado En Microfibra. Puntera De No Lleva. Plantilla No Lleva. Suela De Eva/Caucho-Nitrilo"/>
    <n v="29.56"/>
    <x v="3"/>
    <x v="0"/>
    <s v="BLANCO"/>
    <s v="MICROFIBRA"/>
    <s v="No lleva"/>
    <s v="No lleva"/>
    <s v="EVA/CAUCHO-NITRILO"/>
    <n v="43"/>
    <n v="8457780315626"/>
    <s v="18457780315623"/>
    <s v="https://forli.es/neo-sanitario/344-3115-DOVERBL.html#/27-talla-35/48-color-blanco"/>
    <s v="https://forli.es/index.php?controller=attachment&amp;id_attachment=168"/>
  </r>
  <r>
    <s v="FOR.DOVERBL"/>
    <x v="26"/>
    <s v="FOR.DOVERBL-00-44"/>
    <s v="ZAPATO MF O2+FO+SR Blanco 44"/>
    <s v="ZAPATO MF O2+FO+SR Blanco 44. FABRICADO EN MICROFIBRA. PUNTERA DE No lleva. PLANTILLA No lleva. SUELA DE EVA/CAUCHO-NITRILO"/>
    <s v="Zapato Mf O2+Fo+Sr Blanco 44. Fabricado En Microfibra. Puntera De No Lleva. Plantilla No Lleva. Suela De Eva/Caucho-Nitrilo"/>
    <n v="29.56"/>
    <x v="3"/>
    <x v="0"/>
    <s v="BLANCO"/>
    <s v="MICROFIBRA"/>
    <s v="No lleva"/>
    <s v="No lleva"/>
    <s v="EVA/CAUCHO-NITRILO"/>
    <n v="44"/>
    <n v="8457780315633"/>
    <s v="18457780315630"/>
    <s v="https://forli.es/neo-sanitario/344-3115-DOVERBL.html#/27-talla-35/48-color-blanco"/>
    <s v="https://forli.es/index.php?controller=attachment&amp;id_attachment=168"/>
  </r>
  <r>
    <s v="FOR.DOVERBL"/>
    <x v="26"/>
    <s v="FOR.DOVERBL-00-45"/>
    <s v="ZAPATO MF O2+FO+SR Blanco 45"/>
    <s v="ZAPATO MF O2+FO+SR Blanco 45. FABRICADO EN MICROFIBRA. PUNTERA DE No lleva. PLANTILLA No lleva. SUELA DE EVA/CAUCHO-NITRILO"/>
    <s v="Zapato Mf O2+Fo+Sr Blanco 45. Fabricado En Microfibra. Puntera De No Lleva. Plantilla No Lleva. Suela De Eva/Caucho-Nitrilo"/>
    <n v="29.56"/>
    <x v="3"/>
    <x v="0"/>
    <s v="BLANCO"/>
    <s v="MICROFIBRA"/>
    <s v="No lleva"/>
    <s v="No lleva"/>
    <s v="EVA/CAUCHO-NITRILO"/>
    <n v="45"/>
    <n v="8457780315640"/>
    <s v="18457780315647"/>
    <s v="https://forli.es/neo-sanitario/344-3115-DOVERBL.html#/27-talla-35/48-color-blanco"/>
    <s v="https://forli.es/index.php?controller=attachment&amp;id_attachment=168"/>
  </r>
  <r>
    <s v="FOR.DOVERBL"/>
    <x v="26"/>
    <s v="FOR.DOVERBL-00-46"/>
    <s v="ZAPATO MF O2+FO+SR Blanco 46"/>
    <s v="ZAPATO MF O2+FO+SR Blanco 46. FABRICADO EN MICROFIBRA. PUNTERA DE No lleva. PLANTILLA No lleva. SUELA DE EVA/CAUCHO-NITRILO"/>
    <s v="Zapato Mf O2+Fo+Sr Blanco 46. Fabricado En Microfibra. Puntera De No Lleva. Plantilla No Lleva. Suela De Eva/Caucho-Nitrilo"/>
    <n v="29.56"/>
    <x v="3"/>
    <x v="0"/>
    <s v="BLANCO"/>
    <s v="MICROFIBRA"/>
    <s v="No lleva"/>
    <s v="No lleva"/>
    <s v="EVA/CAUCHO-NITRILO"/>
    <n v="46"/>
    <n v="8457780315657"/>
    <s v="18457780315654"/>
    <s v="https://forli.es/neo-sanitario/344-3115-DOVERBL.html#/27-talla-35/48-color-blanco"/>
    <s v="https://forli.es/index.php?controller=attachment&amp;id_attachment=168"/>
  </r>
  <r>
    <s v="FOR.DOVERBL"/>
    <x v="26"/>
    <s v="FOR.DOVERBL-00-47"/>
    <s v="ZAPATO MF O2+FO+SR Blanco 47"/>
    <s v="ZAPATO MF O2+FO+SR Blanco 47. FABRICADO EN MICROFIBRA. PUNTERA DE No lleva. PLANTILLA No lleva. SUELA DE EVA/CAUCHO-NITRILO"/>
    <s v="Zapato Mf O2+Fo+Sr Blanco 47. Fabricado En Microfibra. Puntera De No Lleva. Plantilla No Lleva. Suela De Eva/Caucho-Nitrilo"/>
    <n v="29.56"/>
    <x v="3"/>
    <x v="0"/>
    <s v="BLANCO"/>
    <s v="MICROFIBRA"/>
    <s v="No lleva"/>
    <s v="No lleva"/>
    <s v="EVA/CAUCHO-NITRILO"/>
    <n v="47"/>
    <n v="8457780315664"/>
    <s v="18457780315661"/>
    <s v="https://forli.es/neo-sanitario/344-3115-DOVERBL.html#/27-talla-35/48-color-blanco"/>
    <s v="https://forli.es/index.php?controller=attachment&amp;id_attachment=168"/>
  </r>
  <r>
    <s v="FOR.DOVERBL"/>
    <x v="26"/>
    <s v="FOR.DOVERBL-00-48"/>
    <s v="ZAPATO MF O2+FO+SR Blanco 48"/>
    <s v="ZAPATO MF O2+FO+SR Blanco 48. FABRICADO EN MICROFIBRA. PUNTERA DE No lleva. PLANTILLA No lleva. SUELA DE EVA/CAUCHO-NITRILO"/>
    <s v="Zapato Mf O2+Fo+Sr Blanco 48. Fabricado En Microfibra. Puntera De No Lleva. Plantilla No Lleva. Suela De Eva/Caucho-Nitrilo"/>
    <n v="29.56"/>
    <x v="3"/>
    <x v="0"/>
    <s v="BLANCO"/>
    <s v="MICROFIBRA"/>
    <s v="No lleva"/>
    <s v="No lleva"/>
    <s v="EVA/CAUCHO-NITRILO"/>
    <n v="48"/>
    <n v="8457780315671"/>
    <s v="18457780315678"/>
    <s v="https://forli.es/neo-sanitario/344-3115-DOVERBL.html#/27-talla-35/48-color-blanco"/>
    <s v="https://forli.es/index.php?controller=attachment&amp;id_attachment=168"/>
  </r>
  <r>
    <s v="FOR.DOVERNG"/>
    <x v="27"/>
    <s v="FOR.DOVERNG-99-35"/>
    <s v="ZAPATO MF O2+FO+SR Negro 35"/>
    <s v="ZAPATO MF O2+FO+SR Negro 35. FABRICADO EN MICROFIBRA. PUNTERA DE No lleva. PLANTILLA No lleva. SUELA DE EVA/CAUCHO-NITRILO"/>
    <s v="Zapato Mf O2+Fo+Sr Negro 35. Fabricado En Microfibra. Puntera De No Lleva. Plantilla No Lleva. Suela De Eva/Caucho-Nitrilo"/>
    <n v="29.56"/>
    <x v="3"/>
    <x v="0"/>
    <s v="NEGRO"/>
    <s v="MICROFIBRA"/>
    <s v="No lleva"/>
    <s v="No lleva"/>
    <s v="EVA/CAUCHO-NITRILO"/>
    <n v="35"/>
    <n v="8457780313660"/>
    <s v="18457780313667"/>
    <s v="https://forli.es/neo-sanitario/345-3129-DOVERNG.html#/27-talla-35/42-color-negro_black"/>
    <s v="https://forli.es/index.php?controller=attachment&amp;id_attachment=169"/>
  </r>
  <r>
    <s v="FOR.DOVERNG"/>
    <x v="27"/>
    <s v="FOR.DOVERNG-99-36"/>
    <s v="ZAPATO MF O2+FO+SR Negro 36"/>
    <s v="ZAPATO MF O2+FO+SR Negro 36. FABRICADO EN MICROFIBRA. PUNTERA DE No lleva. PLANTILLA No lleva. SUELA DE EVA/CAUCHO-NITRILO"/>
    <s v="Zapato Mf O2+Fo+Sr Negro 36. Fabricado En Microfibra. Puntera De No Lleva. Plantilla No Lleva. Suela De Eva/Caucho-Nitrilo"/>
    <n v="29.56"/>
    <x v="3"/>
    <x v="0"/>
    <s v="NEGRO"/>
    <s v="MICROFIBRA"/>
    <s v="No lleva"/>
    <s v="No lleva"/>
    <s v="EVA/CAUCHO-NITRILO"/>
    <n v="36"/>
    <n v="8457780313677"/>
    <s v="18457780313674"/>
    <s v="https://forli.es/neo-sanitario/345-3129-DOVERNG.html#/27-talla-35/42-color-negro_black"/>
    <s v="https://forli.es/index.php?controller=attachment&amp;id_attachment=169"/>
  </r>
  <r>
    <s v="FOR.DOVERNG"/>
    <x v="27"/>
    <s v="FOR.DOVERNG-99-37"/>
    <s v="ZAPATO MF O2+FO+SR Negro 37"/>
    <s v="ZAPATO MF O2+FO+SR Negro 37. FABRICADO EN MICROFIBRA. PUNTERA DE No lleva. PLANTILLA No lleva. SUELA DE EVA/CAUCHO-NITRILO"/>
    <s v="Zapato Mf O2+Fo+Sr Negro 37. Fabricado En Microfibra. Puntera De No Lleva. Plantilla No Lleva. Suela De Eva/Caucho-Nitrilo"/>
    <n v="29.56"/>
    <x v="3"/>
    <x v="0"/>
    <s v="NEGRO"/>
    <s v="MICROFIBRA"/>
    <s v="No lleva"/>
    <s v="No lleva"/>
    <s v="EVA/CAUCHO-NITRILO"/>
    <n v="37"/>
    <n v="8457780313684"/>
    <s v="18457780313681"/>
    <s v="https://forli.es/neo-sanitario/345-3129-DOVERNG.html#/27-talla-35/42-color-negro_black"/>
    <s v="https://forli.es/index.php?controller=attachment&amp;id_attachment=169"/>
  </r>
  <r>
    <s v="FOR.DOVERNG"/>
    <x v="27"/>
    <s v="FOR.DOVERNG-99-38"/>
    <s v="ZAPATO MF O2+FO+SR Negro 38"/>
    <s v="ZAPATO MF O2+FO+SR Negro 38. FABRICADO EN MICROFIBRA. PUNTERA DE No lleva. PLANTILLA No lleva. SUELA DE EVA/CAUCHO-NITRILO"/>
    <s v="Zapato Mf O2+Fo+Sr Negro 38. Fabricado En Microfibra. Puntera De No Lleva. Plantilla No Lleva. Suela De Eva/Caucho-Nitrilo"/>
    <n v="29.56"/>
    <x v="3"/>
    <x v="0"/>
    <s v="NEGRO"/>
    <s v="MICROFIBRA"/>
    <s v="No lleva"/>
    <s v="No lleva"/>
    <s v="EVA/CAUCHO-NITRILO"/>
    <n v="38"/>
    <n v="8457780313691"/>
    <s v="18457780313698"/>
    <s v="https://forli.es/neo-sanitario/345-3129-DOVERNG.html#/27-talla-35/42-color-negro_black"/>
    <s v="https://forli.es/index.php?controller=attachment&amp;id_attachment=169"/>
  </r>
  <r>
    <s v="FOR.DOVERNG"/>
    <x v="27"/>
    <s v="FOR.DOVERNG-99-39"/>
    <s v="ZAPATO MF O2+FO+SR Negro 39"/>
    <s v="ZAPATO MF O2+FO+SR Negro 39. FABRICADO EN MICROFIBRA. PUNTERA DE No lleva. PLANTILLA No lleva. SUELA DE EVA/CAUCHO-NITRILO"/>
    <s v="Zapato Mf O2+Fo+Sr Negro 39. Fabricado En Microfibra. Puntera De No Lleva. Plantilla No Lleva. Suela De Eva/Caucho-Nitrilo"/>
    <n v="29.56"/>
    <x v="3"/>
    <x v="0"/>
    <s v="NEGRO"/>
    <s v="MICROFIBRA"/>
    <s v="No lleva"/>
    <s v="No lleva"/>
    <s v="EVA/CAUCHO-NITRILO"/>
    <n v="39"/>
    <n v="8457780313707"/>
    <s v="18457780313704"/>
    <s v="https://forli.es/neo-sanitario/345-3129-DOVERNG.html#/27-talla-35/42-color-negro_black"/>
    <s v="https://forli.es/index.php?controller=attachment&amp;id_attachment=169"/>
  </r>
  <r>
    <s v="FOR.DOVERNG"/>
    <x v="27"/>
    <s v="FOR.DOVERNG-99-40"/>
    <s v="ZAPATO MF O2+FO+SR Negro 40"/>
    <s v="ZAPATO MF O2+FO+SR Negro 40. FABRICADO EN MICROFIBRA. PUNTERA DE No lleva. PLANTILLA No lleva. SUELA DE EVA/CAUCHO-NITRILO"/>
    <s v="Zapato Mf O2+Fo+Sr Negro 40. Fabricado En Microfibra. Puntera De No Lleva. Plantilla No Lleva. Suela De Eva/Caucho-Nitrilo"/>
    <n v="29.56"/>
    <x v="3"/>
    <x v="0"/>
    <s v="NEGRO"/>
    <s v="MICROFIBRA"/>
    <s v="No lleva"/>
    <s v="No lleva"/>
    <s v="EVA/CAUCHO-NITRILO"/>
    <n v="40"/>
    <n v="8457780313714"/>
    <s v="18457780313711"/>
    <s v="https://forli.es/neo-sanitario/345-3129-DOVERNG.html#/27-talla-35/42-color-negro_black"/>
    <s v="https://forli.es/index.php?controller=attachment&amp;id_attachment=169"/>
  </r>
  <r>
    <s v="FOR.DOVERNG"/>
    <x v="27"/>
    <s v="FOR.DOVERNG-99-41"/>
    <s v="ZAPATO MF O2+FO+SR Negro 41"/>
    <s v="ZAPATO MF O2+FO+SR Negro 41. FABRICADO EN MICROFIBRA. PUNTERA DE No lleva. PLANTILLA No lleva. SUELA DE EVA/CAUCHO-NITRILO"/>
    <s v="Zapato Mf O2+Fo+Sr Negro 41. Fabricado En Microfibra. Puntera De No Lleva. Plantilla No Lleva. Suela De Eva/Caucho-Nitrilo"/>
    <n v="29.56"/>
    <x v="3"/>
    <x v="0"/>
    <s v="NEGRO"/>
    <s v="MICROFIBRA"/>
    <s v="No lleva"/>
    <s v="No lleva"/>
    <s v="EVA/CAUCHO-NITRILO"/>
    <n v="41"/>
    <n v="8457780313721"/>
    <s v="18457780313728"/>
    <s v="https://forli.es/neo-sanitario/345-3129-DOVERNG.html#/27-talla-35/42-color-negro_black"/>
    <s v="https://forli.es/index.php?controller=attachment&amp;id_attachment=169"/>
  </r>
  <r>
    <s v="FOR.DOVERNG"/>
    <x v="27"/>
    <s v="FOR.DOVERNG-99-42"/>
    <s v="ZAPATO MF O2+FO+SR Negro 42"/>
    <s v="ZAPATO MF O2+FO+SR Negro 42. FABRICADO EN MICROFIBRA. PUNTERA DE No lleva. PLANTILLA No lleva. SUELA DE EVA/CAUCHO-NITRILO"/>
    <s v="Zapato Mf O2+Fo+Sr Negro 42. Fabricado En Microfibra. Puntera De No Lleva. Plantilla No Lleva. Suela De Eva/Caucho-Nitrilo"/>
    <n v="29.56"/>
    <x v="3"/>
    <x v="0"/>
    <s v="NEGRO"/>
    <s v="MICROFIBRA"/>
    <s v="No lleva"/>
    <s v="No lleva"/>
    <s v="EVA/CAUCHO-NITRILO"/>
    <n v="42"/>
    <n v="8457780313738"/>
    <s v="18457780313735"/>
    <s v="https://forli.es/neo-sanitario/345-3129-DOVERNG.html#/27-talla-35/42-color-negro_black"/>
    <s v="https://forli.es/index.php?controller=attachment&amp;id_attachment=169"/>
  </r>
  <r>
    <s v="FOR.DOVERNG"/>
    <x v="27"/>
    <s v="FOR.DOVERNG-99-43"/>
    <s v="ZAPATO MF O2+FO+SR Negro 43"/>
    <s v="ZAPATO MF O2+FO+SR Negro 43. FABRICADO EN MICROFIBRA. PUNTERA DE No lleva. PLANTILLA No lleva. SUELA DE EVA/CAUCHO-NITRILO"/>
    <s v="Zapato Mf O2+Fo+Sr Negro 43. Fabricado En Microfibra. Puntera De No Lleva. Plantilla No Lleva. Suela De Eva/Caucho-Nitrilo"/>
    <n v="29.56"/>
    <x v="3"/>
    <x v="0"/>
    <s v="NEGRO"/>
    <s v="MICROFIBRA"/>
    <s v="No lleva"/>
    <s v="No lleva"/>
    <s v="EVA/CAUCHO-NITRILO"/>
    <n v="43"/>
    <n v="8457780313745"/>
    <s v="18457780313742"/>
    <s v="https://forli.es/neo-sanitario/345-3129-DOVERNG.html#/27-talla-35/42-color-negro_black"/>
    <s v="https://forli.es/index.php?controller=attachment&amp;id_attachment=169"/>
  </r>
  <r>
    <s v="FOR.DOVERNG"/>
    <x v="27"/>
    <s v="FOR.DOVERNG-99-44"/>
    <s v="ZAPATO MF O2+FO+SR Negro 44"/>
    <s v="ZAPATO MF O2+FO+SR Negro 44. FABRICADO EN MICROFIBRA. PUNTERA DE No lleva. PLANTILLA No lleva. SUELA DE EVA/CAUCHO-NITRILO"/>
    <s v="Zapato Mf O2+Fo+Sr Negro 44. Fabricado En Microfibra. Puntera De No Lleva. Plantilla No Lleva. Suela De Eva/Caucho-Nitrilo"/>
    <n v="29.56"/>
    <x v="3"/>
    <x v="0"/>
    <s v="NEGRO"/>
    <s v="MICROFIBRA"/>
    <s v="No lleva"/>
    <s v="No lleva"/>
    <s v="EVA/CAUCHO-NITRILO"/>
    <n v="44"/>
    <n v="8457780313752"/>
    <s v="18457780313759"/>
    <s v="https://forli.es/neo-sanitario/345-3129-DOVERNG.html#/27-talla-35/42-color-negro_black"/>
    <s v="https://forli.es/index.php?controller=attachment&amp;id_attachment=169"/>
  </r>
  <r>
    <s v="FOR.DOVERNG"/>
    <x v="27"/>
    <s v="FOR.DOVERNG-99-45"/>
    <s v="ZAPATO MF O2+FO+SR Negro 45"/>
    <s v="ZAPATO MF O2+FO+SR Negro 45. FABRICADO EN MICROFIBRA. PUNTERA DE No lleva. PLANTILLA No lleva. SUELA DE EVA/CAUCHO-NITRILO"/>
    <s v="Zapato Mf O2+Fo+Sr Negro 45. Fabricado En Microfibra. Puntera De No Lleva. Plantilla No Lleva. Suela De Eva/Caucho-Nitrilo"/>
    <n v="29.56"/>
    <x v="3"/>
    <x v="0"/>
    <s v="NEGRO"/>
    <s v="MICROFIBRA"/>
    <s v="No lleva"/>
    <s v="No lleva"/>
    <s v="EVA/CAUCHO-NITRILO"/>
    <n v="45"/>
    <n v="8457780313769"/>
    <s v="18457780313766"/>
    <s v="https://forli.es/neo-sanitario/345-3129-DOVERNG.html#/27-talla-35/42-color-negro_black"/>
    <s v="https://forli.es/index.php?controller=attachment&amp;id_attachment=169"/>
  </r>
  <r>
    <s v="FOR.DOVERNG"/>
    <x v="27"/>
    <s v="FOR.DOVERNG-99-46"/>
    <s v="ZAPATO MF O2+FO+SR Negro 46"/>
    <s v="ZAPATO MF O2+FO+SR Negro 46. FABRICADO EN MICROFIBRA. PUNTERA DE No lleva. PLANTILLA No lleva. SUELA DE EVA/CAUCHO-NITRILO"/>
    <s v="Zapato Mf O2+Fo+Sr Negro 46. Fabricado En Microfibra. Puntera De No Lleva. Plantilla No Lleva. Suela De Eva/Caucho-Nitrilo"/>
    <n v="29.56"/>
    <x v="3"/>
    <x v="0"/>
    <s v="NEGRO"/>
    <s v="MICROFIBRA"/>
    <s v="No lleva"/>
    <s v="No lleva"/>
    <s v="EVA/CAUCHO-NITRILO"/>
    <n v="46"/>
    <n v="8457780313776"/>
    <s v="18457780313773"/>
    <s v="https://forli.es/neo-sanitario/345-3129-DOVERNG.html#/27-talla-35/42-color-negro_black"/>
    <s v="https://forli.es/index.php?controller=attachment&amp;id_attachment=169"/>
  </r>
  <r>
    <s v="FOR.DOVERNG"/>
    <x v="27"/>
    <s v="FOR.DOVERNG-99-47"/>
    <s v="ZAPATO MF O2+FO+SR Negro 47"/>
    <s v="ZAPATO MF O2+FO+SR Negro 47. FABRICADO EN MICROFIBRA. PUNTERA DE No lleva. PLANTILLA No lleva. SUELA DE EVA/CAUCHO-NITRILO"/>
    <s v="Zapato Mf O2+Fo+Sr Negro 47. Fabricado En Microfibra. Puntera De No Lleva. Plantilla No Lleva. Suela De Eva/Caucho-Nitrilo"/>
    <n v="29.56"/>
    <x v="3"/>
    <x v="0"/>
    <s v="NEGRO"/>
    <s v="MICROFIBRA"/>
    <s v="No lleva"/>
    <s v="No lleva"/>
    <s v="EVA/CAUCHO-NITRILO"/>
    <n v="47"/>
    <n v="8457780313783"/>
    <s v="18457780313780"/>
    <s v="https://forli.es/neo-sanitario/345-3129-DOVERNG.html#/27-talla-35/42-color-negro_black"/>
    <s v="https://forli.es/index.php?controller=attachment&amp;id_attachment=169"/>
  </r>
  <r>
    <s v="FOR.DOVERNG"/>
    <x v="27"/>
    <s v="FOR.DOVERNG-99-48"/>
    <s v="ZAPATO MF O2+FO+SR Negro 48"/>
    <s v="ZAPATO MF O2+FO+SR Negro 48. FABRICADO EN MICROFIBRA. PUNTERA DE No lleva. PLANTILLA No lleva. SUELA DE EVA/CAUCHO-NITRILO"/>
    <s v="Zapato Mf O2+Fo+Sr Negro 48. Fabricado En Microfibra. Puntera De No Lleva. Plantilla No Lleva. Suela De Eva/Caucho-Nitrilo"/>
    <n v="29.56"/>
    <x v="3"/>
    <x v="0"/>
    <s v="NEGRO"/>
    <s v="MICROFIBRA"/>
    <s v="No lleva"/>
    <s v="No lleva"/>
    <s v="EVA/CAUCHO-NITRILO"/>
    <n v="48"/>
    <n v="8457780313790"/>
    <s v="18457780313797"/>
    <s v="https://forli.es/neo-sanitario/345-3129-DOVERNG.html#/27-talla-35/42-color-negro_black"/>
    <s v="https://forli.es/index.php?controller=attachment&amp;id_attachment=169"/>
  </r>
  <r>
    <s v="FOR.RENO"/>
    <x v="28"/>
    <s v="FOR.RENO-00-35"/>
    <s v="ZAPATO MF OB+SRC Blanco 35"/>
    <s v="ZAPATO MF OB+SRC Blanco 35. FABRICADO EN MICROFIBRA. PUNTERA DE No lleva. PLANTILLA No lleva. SUELA DE PU/PU DOBLE DENSIDAD"/>
    <s v="Zapato Mf Ob+Src Blanco 35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35"/>
    <n v="8457780313103"/>
    <s v="18457780313100"/>
    <s v="https://forli.es/white-metal-free/338-3031-RENO.html#/27-talla-35/48-color-blanco"/>
    <s v="https://forli.es/index.php?controller=attachment&amp;id_attachment=120"/>
  </r>
  <r>
    <s v="FOR.RENO"/>
    <x v="28"/>
    <s v="FOR.RENO-00-36"/>
    <s v="ZAPATO MF OB+SRC Blanco 36"/>
    <s v="ZAPATO MF OB+SRC Blanco 36. FABRICADO EN MICROFIBRA. PUNTERA DE No lleva. PLANTILLA No lleva. SUELA DE PU/PU DOBLE DENSIDAD"/>
    <s v="Zapato Mf Ob+Src Blanco 36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36"/>
    <n v="8457780313110"/>
    <s v="18457780313117"/>
    <s v="https://forli.es/white-metal-free/338-3031-RENO.html#/27-talla-35/48-color-blanco"/>
    <s v="https://forli.es/index.php?controller=attachment&amp;id_attachment=120"/>
  </r>
  <r>
    <s v="FOR.RENO"/>
    <x v="28"/>
    <s v="FOR.RENO-00-37"/>
    <s v="ZAPATO MF OB+SRC Blanco 37"/>
    <s v="ZAPATO MF OB+SRC Blanco 37. FABRICADO EN MICROFIBRA. PUNTERA DE No lleva. PLANTILLA No lleva. SUELA DE PU/PU DOBLE DENSIDAD"/>
    <s v="Zapato Mf Ob+Src Blanco 37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37"/>
    <n v="8457780313127"/>
    <s v="18457780313124"/>
    <s v="https://forli.es/white-metal-free/338-3031-RENO.html#/27-talla-35/48-color-blanco"/>
    <s v="https://forli.es/index.php?controller=attachment&amp;id_attachment=120"/>
  </r>
  <r>
    <s v="FOR.RENO"/>
    <x v="28"/>
    <s v="FOR.RENO-00-38"/>
    <s v="ZAPATO MF OB+SRC Blanco 38"/>
    <s v="ZAPATO MF OB+SRC Blanco 38. FABRICADO EN MICROFIBRA. PUNTERA DE No lleva. PLANTILLA No lleva. SUELA DE PU/PU DOBLE DENSIDAD"/>
    <s v="Zapato Mf Ob+Src Blanco 38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38"/>
    <n v="8457780313134"/>
    <s v="18457780313131"/>
    <s v="https://forli.es/white-metal-free/338-3031-RENO.html#/27-talla-35/48-color-blanco"/>
    <s v="https://forli.es/index.php?controller=attachment&amp;id_attachment=120"/>
  </r>
  <r>
    <s v="FOR.RENO"/>
    <x v="28"/>
    <s v="FOR.RENO-00-39"/>
    <s v="ZAPATO MF OB+SRC Blanco 39"/>
    <s v="ZAPATO MF OB+SRC Blanco 39. FABRICADO EN MICROFIBRA. PUNTERA DE No lleva. PLANTILLA No lleva. SUELA DE PU/PU DOBLE DENSIDAD"/>
    <s v="Zapato Mf Ob+Src Blanco 39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39"/>
    <n v="8457780313141"/>
    <s v="18457780313148"/>
    <s v="https://forli.es/white-metal-free/338-3031-RENO.html#/27-talla-35/48-color-blanco"/>
    <s v="https://forli.es/index.php?controller=attachment&amp;id_attachment=120"/>
  </r>
  <r>
    <s v="FOR.RENO"/>
    <x v="28"/>
    <s v="FOR.RENO-00-40"/>
    <s v="ZAPATO MF OB+SRC Blanco 40"/>
    <s v="ZAPATO MF OB+SRC Blanco 40. FABRICADO EN MICROFIBRA. PUNTERA DE No lleva. PLANTILLA No lleva. SUELA DE PU/PU DOBLE DENSIDAD"/>
    <s v="Zapato Mf Ob+Src Blanco 40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0"/>
    <n v="8457780313158"/>
    <s v="18457780313155"/>
    <s v="https://forli.es/white-metal-free/338-3031-RENO.html#/27-talla-35/48-color-blanco"/>
    <s v="https://forli.es/index.php?controller=attachment&amp;id_attachment=120"/>
  </r>
  <r>
    <s v="FOR.RENO"/>
    <x v="28"/>
    <s v="FOR.RENO-00-41"/>
    <s v="ZAPATO MF OB+SRC Blanco 41"/>
    <s v="ZAPATO MF OB+SRC Blanco 41. FABRICADO EN MICROFIBRA. PUNTERA DE No lleva. PLANTILLA No lleva. SUELA DE PU/PU DOBLE DENSIDAD"/>
    <s v="Zapato Mf Ob+Src Blanco 41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1"/>
    <n v="8457780313165"/>
    <s v="18457780313162"/>
    <s v="https://forli.es/white-metal-free/338-3031-RENO.html#/27-talla-35/48-color-blanco"/>
    <s v="https://forli.es/index.php?controller=attachment&amp;id_attachment=120"/>
  </r>
  <r>
    <s v="FOR.RENO"/>
    <x v="28"/>
    <s v="FOR.RENO-00-42"/>
    <s v="ZAPATO MF OB+SRC Blanco 42"/>
    <s v="ZAPATO MF OB+SRC Blanco 42. FABRICADO EN MICROFIBRA. PUNTERA DE No lleva. PLANTILLA No lleva. SUELA DE PU/PU DOBLE DENSIDAD"/>
    <s v="Zapato Mf Ob+Src Blanco 42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2"/>
    <n v="8457780313172"/>
    <s v="18457780313179"/>
    <s v="https://forli.es/white-metal-free/338-3031-RENO.html#/27-talla-35/48-color-blanco"/>
    <s v="https://forli.es/index.php?controller=attachment&amp;id_attachment=120"/>
  </r>
  <r>
    <s v="FOR.RENO"/>
    <x v="28"/>
    <s v="FOR.RENO-00-43"/>
    <s v="ZAPATO MF OB+SRC Blanco 43"/>
    <s v="ZAPATO MF OB+SRC Blanco 43. FABRICADO EN MICROFIBRA. PUNTERA DE No lleva. PLANTILLA No lleva. SUELA DE PU/PU DOBLE DENSIDAD"/>
    <s v="Zapato Mf Ob+Src Blanco 43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3"/>
    <n v="8457780313189"/>
    <s v="18457780313186"/>
    <s v="https://forli.es/white-metal-free/338-3031-RENO.html#/27-talla-35/48-color-blanco"/>
    <s v="https://forli.es/index.php?controller=attachment&amp;id_attachment=120"/>
  </r>
  <r>
    <s v="FOR.RENO"/>
    <x v="28"/>
    <s v="FOR.RENO-00-44"/>
    <s v="ZAPATO MF OB+SRC Blanco 44"/>
    <s v="ZAPATO MF OB+SRC Blanco 44. FABRICADO EN MICROFIBRA. PUNTERA DE No lleva. PLANTILLA No lleva. SUELA DE PU/PU DOBLE DENSIDAD"/>
    <s v="Zapato Mf Ob+Src Blanco 44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4"/>
    <n v="8457780313196"/>
    <s v="18457780313193"/>
    <s v="https://forli.es/white-metal-free/338-3031-RENO.html#/27-talla-35/48-color-blanco"/>
    <s v="https://forli.es/index.php?controller=attachment&amp;id_attachment=120"/>
  </r>
  <r>
    <s v="FOR.RENO"/>
    <x v="28"/>
    <s v="FOR.RENO-00-45"/>
    <s v="ZAPATO MF OB+SRC Blanco 45"/>
    <s v="ZAPATO MF OB+SRC Blanco 45. FABRICADO EN MICROFIBRA. PUNTERA DE No lleva. PLANTILLA No lleva. SUELA DE PU/PU DOBLE DENSIDAD"/>
    <s v="Zapato Mf Ob+Src Blanco 45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5"/>
    <n v="8457780313202"/>
    <s v="18457780313209"/>
    <s v="https://forli.es/white-metal-free/338-3031-RENO.html#/27-talla-35/48-color-blanco"/>
    <s v="https://forli.es/index.php?controller=attachment&amp;id_attachment=120"/>
  </r>
  <r>
    <s v="FOR.RENO"/>
    <x v="28"/>
    <s v="FOR.RENO-00-46"/>
    <s v="ZAPATO MF OB+SRC Blanco 46"/>
    <s v="ZAPATO MF OB+SRC Blanco 46. FABRICADO EN MICROFIBRA. PUNTERA DE No lleva. PLANTILLA No lleva. SUELA DE PU/PU DOBLE DENSIDAD"/>
    <s v="Zapato Mf Ob+Src Blanco 46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6"/>
    <n v="8457780313219"/>
    <s v="18457780313216"/>
    <s v="https://forli.es/white-metal-free/338-3031-RENO.html#/27-talla-35/48-color-blanco"/>
    <s v="https://forli.es/index.php?controller=attachment&amp;id_attachment=120"/>
  </r>
  <r>
    <s v="FOR.RENO"/>
    <x v="28"/>
    <s v="FOR.RENO-00-47"/>
    <s v="ZAPATO MF OB+SRC Blanco 47"/>
    <s v="ZAPATO MF OB+SRC Blanco 47. FABRICADO EN MICROFIBRA. PUNTERA DE No lleva. PLANTILLA No lleva. SUELA DE PU/PU DOBLE DENSIDAD"/>
    <s v="Zapato Mf Ob+Src Blanco 47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7"/>
    <n v="8457780313226"/>
    <s v="18457780313223"/>
    <s v="https://forli.es/white-metal-free/338-3031-RENO.html#/27-talla-35/48-color-blanco"/>
    <s v="https://forli.es/index.php?controller=attachment&amp;id_attachment=120"/>
  </r>
  <r>
    <s v="FOR.RENO"/>
    <x v="28"/>
    <s v="FOR.RENO-00-48"/>
    <s v="ZAPATO MF OB+SRC Blanco 48"/>
    <s v="ZAPATO MF OB+SRC Blanco 48. FABRICADO EN MICROFIBRA. PUNTERA DE No lleva. PLANTILLA No lleva. SUELA DE PU/PU DOBLE DENSIDAD"/>
    <s v="Zapato Mf Ob+Src Blanco 48. Fabricado En Microfibra. Puntera De No Lleva. Plantilla No Lleva. Suela De Pu/Pu Doble Densidad"/>
    <n v="13.9"/>
    <x v="3"/>
    <x v="0"/>
    <s v="BLANCO"/>
    <s v="MICROFIBRA"/>
    <s v="No lleva"/>
    <s v="No lleva"/>
    <s v="PU/PU DOBLE DENSIDAD"/>
    <n v="48"/>
    <n v="8457780313233"/>
    <s v="18457780313230"/>
    <s v="https://forli.es/white-metal-free/338-3031-RENO.html#/27-talla-35/48-color-blanco"/>
    <s v="https://forli.es/index.php?controller=attachment&amp;id_attachment=120"/>
  </r>
  <r>
    <s v="FOR.DENVER"/>
    <x v="29"/>
    <s v="FOR.DENVER-99-35"/>
    <s v="ZAPATO MF S1+P+CI+SRC+ESD Negro 35"/>
    <s v="ZAPATO MF S1+P+CI+SRC+ESD Negro 35. FABRICADO EN MICROFIBRA ACABADO SERRAJE + REJILLA. PUNTERA DE Fibra de vidrio. PLANTILLA Antiperforación textil. SUELA DE PU/PU DOBLE DENSIDAD"/>
    <s v="Zapato Mf S1+P+Ci+Src+Esd Negro 35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35"/>
    <n v="8457780304088"/>
    <s v="18457780304085"/>
    <s v="https://forli.es/flex-esd/273-2237-DENVER.html#/27-talla-35/42-color-negro_black"/>
    <s v="https://forli.es/index.php?controller=attachment&amp;id_attachment=87"/>
  </r>
  <r>
    <s v="FOR.DENVER"/>
    <x v="29"/>
    <s v="FOR.DENVER-99-36"/>
    <s v="ZAPATO MF S1+P+CI+SRC+ESD Negro 36"/>
    <s v="ZAPATO MF S1+P+CI+SRC+ESD Negro 36. FABRICADO EN MICROFIBRA ACABADO SERRAJE + REJILLA. PUNTERA DE Fibra de vidrio. PLANTILLA Antiperforación textil. SUELA DE PU/PU DOBLE DENSIDAD"/>
    <s v="Zapato Mf S1+P+Ci+Src+Esd Negro 36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36"/>
    <n v="8457780269202"/>
    <s v="18457780269209"/>
    <s v="https://forli.es/flex-esd/273-2237-DENVER.html#/27-talla-35/42-color-negro_black"/>
    <s v="https://forli.es/index.php?controller=attachment&amp;id_attachment=87"/>
  </r>
  <r>
    <s v="FOR.DENVER"/>
    <x v="29"/>
    <s v="FOR.DENVER-99-37"/>
    <s v="ZAPATO MF S1+P+CI+SRC+ESD Negro 37"/>
    <s v="ZAPATO MF S1+P+CI+SRC+ESD Negro 37. FABRICADO EN MICROFIBRA ACABADO SERRAJE + REJILLA. PUNTERA DE Fibra de vidrio. PLANTILLA Antiperforación textil. SUELA DE PU/PU DOBLE DENSIDAD"/>
    <s v="Zapato Mf S1+P+Ci+Src+Esd Negro 37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37"/>
    <n v="8457780269219"/>
    <s v="18457780269216"/>
    <s v="https://forli.es/flex-esd/273-2237-DENVER.html#/27-talla-35/42-color-negro_black"/>
    <s v="https://forli.es/index.php?controller=attachment&amp;id_attachment=87"/>
  </r>
  <r>
    <s v="FOR.DENVER"/>
    <x v="29"/>
    <s v="FOR.DENVER-99-38"/>
    <s v="ZAPATO MF S1+P+CI+SRC+ESD Negro 38"/>
    <s v="ZAPATO MF S1+P+CI+SRC+ESD Negro 38. FABRICADO EN MICROFIBRA ACABADO SERRAJE + REJILLA. PUNTERA DE Fibra de vidrio. PLANTILLA Antiperforación textil. SUELA DE PU/PU DOBLE DENSIDAD"/>
    <s v="Zapato Mf S1+P+Ci+Src+Esd Negro 38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38"/>
    <n v="8457780269226"/>
    <s v="18457780269223"/>
    <s v="https://forli.es/flex-esd/273-2237-DENVER.html#/27-talla-35/42-color-negro_black"/>
    <s v="https://forli.es/index.php?controller=attachment&amp;id_attachment=87"/>
  </r>
  <r>
    <s v="FOR.DENVER"/>
    <x v="29"/>
    <s v="FOR.DENVER-99-39"/>
    <s v="ZAPATO MF S1+P+CI+SRC+ESD Negro 39"/>
    <s v="ZAPATO MF S1+P+CI+SRC+ESD Negro 39. FABRICADO EN MICROFIBRA ACABADO SERRAJE + REJILLA. PUNTERA DE Fibra de vidrio. PLANTILLA Antiperforación textil. SUELA DE PU/PU DOBLE DENSIDAD"/>
    <s v="Zapato Mf S1+P+Ci+Src+Esd Negro 39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39"/>
    <n v="8457780269233"/>
    <s v="18457780269230"/>
    <s v="https://forli.es/flex-esd/273-2237-DENVER.html#/27-talla-35/42-color-negro_black"/>
    <s v="https://forli.es/index.php?controller=attachment&amp;id_attachment=87"/>
  </r>
  <r>
    <s v="FOR.DENVER"/>
    <x v="29"/>
    <s v="FOR.DENVER-99-40"/>
    <s v="ZAPATO MF S1+P+CI+SRC+ESD Negro 40"/>
    <s v="ZAPATO MF S1+P+CI+SRC+ESD Negro 40. FABRICADO EN MICROFIBRA ACABADO SERRAJE + REJILLA. PUNTERA DE Fibra de vidrio. PLANTILLA Antiperforación textil. SUELA DE PU/PU DOBLE DENSIDAD"/>
    <s v="Zapato Mf S1+P+Ci+Src+Esd Negro 40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0"/>
    <n v="8457780269240"/>
    <s v="18457780269247"/>
    <s v="https://forli.es/flex-esd/273-2237-DENVER.html#/27-talla-35/42-color-negro_black"/>
    <s v="https://forli.es/index.php?controller=attachment&amp;id_attachment=87"/>
  </r>
  <r>
    <s v="FOR.DENVER"/>
    <x v="29"/>
    <s v="FOR.DENVER-99-41"/>
    <s v="ZAPATO MF S1+P+CI+SRC+ESD Negro 41"/>
    <s v="ZAPATO MF S1+P+CI+SRC+ESD Negro 41. FABRICADO EN MICROFIBRA ACABADO SERRAJE + REJILLA. PUNTERA DE Fibra de vidrio. PLANTILLA Antiperforación textil. SUELA DE PU/PU DOBLE DENSIDAD"/>
    <s v="Zapato Mf S1+P+Ci+Src+Esd Negro 41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1"/>
    <n v="8457780269257"/>
    <s v="18457780269254"/>
    <s v="https://forli.es/flex-esd/273-2237-DENVER.html#/27-talla-35/42-color-negro_black"/>
    <s v="https://forli.es/index.php?controller=attachment&amp;id_attachment=87"/>
  </r>
  <r>
    <s v="FOR.DENVER"/>
    <x v="29"/>
    <s v="FOR.DENVER-99-42"/>
    <s v="ZAPATO MF S1+P+CI+SRC+ESD Negro 42"/>
    <s v="ZAPATO MF S1+P+CI+SRC+ESD Negro 42. FABRICADO EN MICROFIBRA ACABADO SERRAJE + REJILLA. PUNTERA DE Fibra de vidrio. PLANTILLA Antiperforación textil. SUELA DE PU/PU DOBLE DENSIDAD"/>
    <s v="Zapato Mf S1+P+Ci+Src+Esd Negro 42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2"/>
    <n v="8457780269264"/>
    <s v="18457780269261"/>
    <s v="https://forli.es/flex-esd/273-2237-DENVER.html#/27-talla-35/42-color-negro_black"/>
    <s v="https://forli.es/index.php?controller=attachment&amp;id_attachment=87"/>
  </r>
  <r>
    <s v="FOR.DENVER"/>
    <x v="29"/>
    <s v="FOR.DENVER-99-43"/>
    <s v="ZAPATO MF S1+P+CI+SRC+ESD Negro 43"/>
    <s v="ZAPATO MF S1+P+CI+SRC+ESD Negro 43. FABRICADO EN MICROFIBRA ACABADO SERRAJE + REJILLA. PUNTERA DE Fibra de vidrio. PLANTILLA Antiperforación textil. SUELA DE PU/PU DOBLE DENSIDAD"/>
    <s v="Zapato Mf S1+P+Ci+Src+Esd Negro 43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3"/>
    <n v="8457780269271"/>
    <s v="18457780269278"/>
    <s v="https://forli.es/flex-esd/273-2237-DENVER.html#/27-talla-35/42-color-negro_black"/>
    <s v="https://forli.es/index.php?controller=attachment&amp;id_attachment=87"/>
  </r>
  <r>
    <s v="FOR.DENVER"/>
    <x v="29"/>
    <s v="FOR.DENVER-99-44"/>
    <s v="ZAPATO MF S1+P+CI+SRC+ESD Negro 44"/>
    <s v="ZAPATO MF S1+P+CI+SRC+ESD Negro 44. FABRICADO EN MICROFIBRA ACABADO SERRAJE + REJILLA. PUNTERA DE Fibra de vidrio. PLANTILLA Antiperforación textil. SUELA DE PU/PU DOBLE DENSIDAD"/>
    <s v="Zapato Mf S1+P+Ci+Src+Esd Negro 44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4"/>
    <n v="8457780269288"/>
    <s v="18457780269285"/>
    <s v="https://forli.es/flex-esd/273-2237-DENVER.html#/27-talla-35/42-color-negro_black"/>
    <s v="https://forli.es/index.php?controller=attachment&amp;id_attachment=87"/>
  </r>
  <r>
    <s v="FOR.DENVER"/>
    <x v="29"/>
    <s v="FOR.DENVER-99-45"/>
    <s v="ZAPATO MF S1+P+CI+SRC+ESD Negro 45"/>
    <s v="ZAPATO MF S1+P+CI+SRC+ESD Negro 45. FABRICADO EN MICROFIBRA ACABADO SERRAJE + REJILLA. PUNTERA DE Fibra de vidrio. PLANTILLA Antiperforación textil. SUELA DE PU/PU DOBLE DENSIDAD"/>
    <s v="Zapato Mf S1+P+Ci+Src+Esd Negro 45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5"/>
    <n v="8457780269295"/>
    <s v="18457780269292"/>
    <s v="https://forli.es/flex-esd/273-2237-DENVER.html#/27-talla-35/42-color-negro_black"/>
    <s v="https://forli.es/index.php?controller=attachment&amp;id_attachment=87"/>
  </r>
  <r>
    <s v="FOR.DENVER"/>
    <x v="29"/>
    <s v="FOR.DENVER-99-46"/>
    <s v="ZAPATO MF S1+P+CI+SRC+ESD Negro 46"/>
    <s v="ZAPATO MF S1+P+CI+SRC+ESD Negro 46. FABRICADO EN MICROFIBRA ACABADO SERRAJE + REJILLA. PUNTERA DE Fibra de vidrio. PLANTILLA Antiperforación textil. SUELA DE PU/PU DOBLE DENSIDAD"/>
    <s v="Zapato Mf S1+P+Ci+Src+Esd Negro 46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6"/>
    <n v="8457780269301"/>
    <s v="18457780269308"/>
    <s v="https://forli.es/flex-esd/273-2237-DENVER.html#/27-talla-35/42-color-negro_black"/>
    <s v="https://forli.es/index.php?controller=attachment&amp;id_attachment=87"/>
  </r>
  <r>
    <s v="FOR.DENVER"/>
    <x v="29"/>
    <s v="FOR.DENVER-99-47"/>
    <s v="ZAPATO MF S1+P+CI+SRC+ESD Negro 47"/>
    <s v="ZAPATO MF S1+P+CI+SRC+ESD Negro 47. FABRICADO EN MICROFIBRA ACABADO SERRAJE + REJILLA. PUNTERA DE Fibra de vidrio. PLANTILLA Antiperforación textil. SUELA DE PU/PU DOBLE DENSIDAD"/>
    <s v="Zapato Mf S1+P+Ci+Src+Esd Negro 47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7"/>
    <n v="8457780269318"/>
    <s v="18457780269315"/>
    <s v="https://forli.es/flex-esd/273-2237-DENVER.html#/27-talla-35/42-color-negro_black"/>
    <s v="https://forli.es/index.php?controller=attachment&amp;id_attachment=87"/>
  </r>
  <r>
    <s v="FOR.DENVER"/>
    <x v="29"/>
    <s v="FOR.DENVER-99-48"/>
    <s v="ZAPATO MF S1+P+CI+SRC+ESD Negro 48"/>
    <s v="ZAPATO MF S1+P+CI+SRC+ESD Negro 48. FABRICADO EN MICROFIBRA ACABADO SERRAJE + REJILLA. PUNTERA DE Fibra de vidrio. PLANTILLA Antiperforación textil. SUELA DE PU/PU DOBLE DENSIDAD"/>
    <s v="Zapato Mf S1+P+Ci+Src+Esd Negro 48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8"/>
    <n v="8457780304095"/>
    <s v="18457780304092"/>
    <s v="https://forli.es/flex-esd/273-2237-DENVER.html#/27-talla-35/42-color-negro_black"/>
    <s v="https://forli.es/index.php?controller=attachment&amp;id_attachment=87"/>
  </r>
  <r>
    <s v="FOR.DENVER"/>
    <x v="29"/>
    <s v="FOR.DENVER-99-49"/>
    <s v="ZAPATO MF S1+P+CI+SRC+ESD Negro 49"/>
    <s v="ZAPATO MF S1+P+CI+SRC+ESD Negro 49. FABRICADO EN MICROFIBRA ACABADO SERRAJE + REJILLA. PUNTERA DE Fibra de vidrio. PLANTILLA Antiperforación textil. SUELA DE PU/PU DOBLE DENSIDAD"/>
    <s v="Zapato Mf S1+P+Ci+Src+Esd Negro 49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49"/>
    <n v="8457780347139"/>
    <n v="18457780347136"/>
    <s v="https://forli.es/flex-esd/273-2237-DENVER.html#/27-talla-35/42-color-negro_black"/>
    <s v="https://forli.es/index.php?controller=attachment&amp;id_attachment=88"/>
  </r>
  <r>
    <s v="FOR.DENVER"/>
    <x v="29"/>
    <s v="FOR.DENVER-99-50"/>
    <s v="ZAPATO MF S1+P+CI+SRC+ESD Negro 50"/>
    <s v="ZAPATO MF S1+P+CI+SRC+ESD Negro 50. FABRICADO EN MICROFIBRA ACABADO SERRAJE + REJILLA. PUNTERA DE Fibra de vidrio. PLANTILLA Antiperforación textil. SUELA DE PU/PU DOBLE DENSIDAD"/>
    <s v="Zapato Mf S1+P+Ci+Src+Esd Negro 50. Fabricado En Microfibra Acabado Serraje + Rejilla. Puntera De Fibra De Vidrio. Plantilla Antiperforación Textil. Suela De Pu/Pu Doble Densidad"/>
    <n v="24.56"/>
    <x v="1"/>
    <x v="0"/>
    <s v="NEGRO"/>
    <s v="MICROFIBRA ACABADO SERRAJE + REJILLA"/>
    <s v="Fibra de vidrio"/>
    <s v="Antiperforación textil"/>
    <s v="PU/PU DOBLE DENSIDAD"/>
    <n v="50"/>
    <n v="8457780347146"/>
    <n v="18457780347143"/>
    <s v="https://forli.es/flex-esd/273-2237-DENVER.html#/27-talla-35/42-color-negro_black"/>
    <s v="https://forli.es/index.php?controller=attachment&amp;id_attachment=89"/>
  </r>
  <r>
    <s v="FOR.SIOUX"/>
    <x v="30"/>
    <s v="FOR.SIOUX-99-35"/>
    <s v="ZAPATO MF S3+CI+SRC+ESD Negro 35"/>
    <s v="ZAPATO MF S3+CI+SRC+ESD Negro 35. FABRICADO EN MICROFIBRA + TEJIDO REFLECTANTE . PUNTERA DE Fibra de vidrio. PLANTILLA Antiperforación textil. SUELA DE PU/PU DOBLE DENSIDAD"/>
    <s v="Zapato Mf S3+Ci+Src+Esd Negro 35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35"/>
    <n v="8457780312540"/>
    <s v="18457780312547"/>
    <s v="https://forli.es/rider/286-2401-SIOUX.html#/27-talla-35/42-color-negro_black"/>
    <s v="https://forli.es/index.php?controller=attachment&amp;id_attachment=115"/>
  </r>
  <r>
    <s v="FOR.NEVADA"/>
    <x v="31"/>
    <s v="FOR.NEVADA-99-35"/>
    <s v="ZAPATO MF S3+CI+SRC+ESD Negro 35"/>
    <s v="ZAPATO MF S3+CI+SRC+ESD Negro 35. FABRICADO EN MICROFIBRA ACABADO NOBUCK. PUNTERA DE Fibra de vidrio. PLANTILLA Antiperforación textil. SUELA DE PU/PU DOBLE DENSIDAD"/>
    <s v="Zapato Mf S3+Ci+Src+Esd Negro 35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5"/>
    <n v="8457780304064"/>
    <s v="18457780304061"/>
    <s v="https://forli.es/flex-esd/272-2223-NEVADA.html#/27-talla-35/42-color-negro_black"/>
    <s v="https://forli.es/index.php?controller=attachment&amp;id_attachment=101"/>
  </r>
  <r>
    <s v="FOR.ATLANTA"/>
    <x v="32"/>
    <s v="FOR.ATLANTA-99-35"/>
    <s v="ZAPATO MF S3+CI+SRC+ESD Negro 35"/>
    <s v="ZAPATO MF S3+CI+SRC+ESD Negro 35. FABRICADO EN MICROFIBRA ACABADO PIEL FULL GRAIN . PUNTERA DE Fibra de vidrio. PLANTILLA Antiperforación textil. SUELA DE PU/PU DOBLE DENSIDAD"/>
    <s v="Zapato Mf S3+Ci+Src+Esd Negro 35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35"/>
    <n v="8457780304002"/>
    <s v="18457780304009"/>
    <s v="https://forli.es/medium-metal-free/266-2145-ATLANTA.html#/27-talla-35/42-color-negro_black"/>
    <s v="https://forli.es/index.php?controller=attachment&amp;id_attachment=117"/>
  </r>
  <r>
    <s v="FOR.SIOUX"/>
    <x v="30"/>
    <s v="FOR.SIOUX-99-36"/>
    <s v="ZAPATO MF S3+CI+SRC+ESD Negro 36"/>
    <s v="ZAPATO MF S3+CI+SRC+ESD Negro 36. FABRICADO EN MICROFIBRA + TEJIDO REFLECTANTE . PUNTERA DE Fibra de vidrio. PLANTILLA Antiperforación textil. SUELA DE PU/PU DOBLE DENSIDAD"/>
    <s v="Zapato Mf S3+Ci+Src+Esd Negro 36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36"/>
    <n v="8457780312557"/>
    <s v="18457780312554"/>
    <s v="https://forli.es/rider/286-2401-SIOUX.html#/27-talla-35/42-color-negro_black"/>
    <s v="https://forli.es/index.php?controller=attachment&amp;id_attachment=115"/>
  </r>
  <r>
    <s v="FOR.NEVADA"/>
    <x v="31"/>
    <s v="FOR.NEVADA-99-36"/>
    <s v="ZAPATO MF S3+CI+SRC+ESD Negro 36"/>
    <s v="ZAPATO MF S3+CI+SRC+ESD Negro 36. FABRICADO EN MICROFIBRA ACABADO NOBUCK. PUNTERA DE Fibra de vidrio. PLANTILLA Antiperforación textil. SUELA DE PU/PU DOBLE DENSIDAD"/>
    <s v="Zapato Mf S3+Ci+Src+Esd Negro 36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6"/>
    <n v="8457780269080"/>
    <s v="18457780269087"/>
    <s v="https://forli.es/flex-esd/272-2223-NEVADA.html#/27-talla-35/42-color-negro_black"/>
    <s v="https://forli.es/index.php?controller=attachment&amp;id_attachment=101"/>
  </r>
  <r>
    <s v="FOR.ATLANTA"/>
    <x v="32"/>
    <s v="FOR.ATLANTA-99-36"/>
    <s v="ZAPATO MF S3+CI+SRC+ESD Negro 36"/>
    <s v="ZAPATO MF S3+CI+SRC+ESD Negro 36. FABRICADO EN MICROFIBRA ACABADO PIEL FULL GRAIN . PUNTERA DE Fibra de vidrio. PLANTILLA Antiperforación textil. SUELA DE PU/PU DOBLE DENSIDAD"/>
    <s v="Zapato Mf S3+Ci+Src+Esd Negro 36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36"/>
    <n v="8457780268847"/>
    <s v="18457780268844"/>
    <s v="https://forli.es/medium-metal-free/266-2145-ATLANTA.html#/27-talla-35/42-color-negro_black"/>
    <s v="https://forli.es/index.php?controller=attachment&amp;id_attachment=117"/>
  </r>
  <r>
    <s v="FOR.SIOUX"/>
    <x v="30"/>
    <s v="FOR.SIOUX-99-37"/>
    <s v="ZAPATO MF S3+CI+SRC+ESD Negro 37"/>
    <s v="ZAPATO MF S3+CI+SRC+ESD Negro 37. FABRICADO EN MICROFIBRA + TEJIDO REFLECTANTE . PUNTERA DE Fibra de vidrio. PLANTILLA Antiperforación textil. SUELA DE PU/PU DOBLE DENSIDAD"/>
    <s v="Zapato Mf S3+Ci+Src+Esd Negro 37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37"/>
    <n v="8457780312564"/>
    <s v="18457780312561"/>
    <s v="https://forli.es/rider/286-2401-SIOUX.html#/27-talla-35/42-color-negro_black"/>
    <s v="https://forli.es/index.php?controller=attachment&amp;id_attachment=115"/>
  </r>
  <r>
    <s v="FOR.NEVADA"/>
    <x v="31"/>
    <s v="FOR.NEVADA-99-37"/>
    <s v="ZAPATO MF S3+CI+SRC+ESD Negro 37"/>
    <s v="ZAPATO MF S3+CI+SRC+ESD Negro 37. FABRICADO EN MICROFIBRA ACABADO NOBUCK. PUNTERA DE Fibra de vidrio. PLANTILLA Antiperforación textil. SUELA DE PU/PU DOBLE DENSIDAD"/>
    <s v="Zapato Mf S3+Ci+Src+Esd Negro 37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7"/>
    <n v="8457780269097"/>
    <s v="18457780269094"/>
    <s v="https://forli.es/flex-esd/272-2223-NEVADA.html#/27-talla-35/42-color-negro_black"/>
    <s v="https://forli.es/index.php?controller=attachment&amp;id_attachment=101"/>
  </r>
  <r>
    <s v="FOR.ATLANTA"/>
    <x v="32"/>
    <s v="FOR.ATLANTA-99-37"/>
    <s v="ZAPATO MF S3+CI+SRC+ESD Negro 37"/>
    <s v="ZAPATO MF S3+CI+SRC+ESD Negro 37. FABRICADO EN MICROFIBRA ACABADO PIEL FULL GRAIN . PUNTERA DE Fibra de vidrio. PLANTILLA Antiperforación textil. SUELA DE PU/PU DOBLE DENSIDAD"/>
    <s v="Zapato Mf S3+Ci+Src+Esd Negro 37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37"/>
    <n v="8457780268854"/>
    <s v="18457780268851"/>
    <s v="https://forli.es/medium-metal-free/266-2145-ATLANTA.html#/27-talla-35/42-color-negro_black"/>
    <s v="https://forli.es/index.php?controller=attachment&amp;id_attachment=117"/>
  </r>
  <r>
    <s v="FOR.SIOUX"/>
    <x v="30"/>
    <s v="FOR.SIOUX-99-38"/>
    <s v="ZAPATO MF S3+CI+SRC+ESD Negro 38"/>
    <s v="ZAPATO MF S3+CI+SRC+ESD Negro 38. FABRICADO EN MICROFIBRA + TEJIDO REFLECTANTE . PUNTERA DE Fibra de vidrio. PLANTILLA Antiperforación textil. SUELA DE PU/PU DOBLE DENSIDAD"/>
    <s v="Zapato Mf S3+Ci+Src+Esd Negro 38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38"/>
    <n v="8457780312571"/>
    <s v="18457780312578"/>
    <s v="https://forli.es/rider/286-2401-SIOUX.html#/27-talla-35/42-color-negro_black"/>
    <s v="https://forli.es/index.php?controller=attachment&amp;id_attachment=115"/>
  </r>
  <r>
    <s v="FOR.NEVADA"/>
    <x v="31"/>
    <s v="FOR.NEVADA-99-38"/>
    <s v="ZAPATO MF S3+CI+SRC+ESD Negro 38"/>
    <s v="ZAPATO MF S3+CI+SRC+ESD Negro 38. FABRICADO EN MICROFIBRA ACABADO NOBUCK. PUNTERA DE Fibra de vidrio. PLANTILLA Antiperforación textil. SUELA DE PU/PU DOBLE DENSIDAD"/>
    <s v="Zapato Mf S3+Ci+Src+Esd Negro 38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8"/>
    <n v="8457780269103"/>
    <s v="18457780269100"/>
    <s v="https://forli.es/flex-esd/272-2223-NEVADA.html#/27-talla-35/42-color-negro_black"/>
    <s v="https://forli.es/index.php?controller=attachment&amp;id_attachment=101"/>
  </r>
  <r>
    <s v="FOR.ATLANTA"/>
    <x v="32"/>
    <s v="FOR.ATLANTA-99-38"/>
    <s v="ZAPATO MF S3+CI+SRC+ESD Negro 38"/>
    <s v="ZAPATO MF S3+CI+SRC+ESD Negro 38. FABRICADO EN MICROFIBRA ACABADO PIEL FULL GRAIN . PUNTERA DE Fibra de vidrio. PLANTILLA Antiperforación textil. SUELA DE PU/PU DOBLE DENSIDAD"/>
    <s v="Zapato Mf S3+Ci+Src+Esd Negro 38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38"/>
    <n v="8457780268861"/>
    <s v="18457780268868"/>
    <s v="https://forli.es/medium-metal-free/266-2145-ATLANTA.html#/27-talla-35/42-color-negro_black"/>
    <s v="https://forli.es/index.php?controller=attachment&amp;id_attachment=117"/>
  </r>
  <r>
    <s v="FOR.SIOUX"/>
    <x v="30"/>
    <s v="FOR.SIOUX-99-39"/>
    <s v="ZAPATO MF S3+CI+SRC+ESD Negro 39"/>
    <s v="ZAPATO MF S3+CI+SRC+ESD Negro 39. FABRICADO EN MICROFIBRA + TEJIDO REFLECTANTE . PUNTERA DE Fibra de vidrio. PLANTILLA Antiperforación textil. SUELA DE PU/PU DOBLE DENSIDAD"/>
    <s v="Zapato Mf S3+Ci+Src+Esd Negro 39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39"/>
    <n v="8457780312588"/>
    <s v="18457780312585"/>
    <s v="https://forli.es/rider/286-2401-SIOUX.html#/27-talla-35/42-color-negro_black"/>
    <s v="https://forli.es/index.php?controller=attachment&amp;id_attachment=115"/>
  </r>
  <r>
    <s v="FOR.NEVADA"/>
    <x v="31"/>
    <s v="FOR.NEVADA-99-39"/>
    <s v="ZAPATO MF S3+CI+SRC+ESD Negro 39"/>
    <s v="ZAPATO MF S3+CI+SRC+ESD Negro 39. FABRICADO EN MICROFIBRA ACABADO NOBUCK. PUNTERA DE Fibra de vidrio. PLANTILLA Antiperforación textil. SUELA DE PU/PU DOBLE DENSIDAD"/>
    <s v="Zapato Mf S3+Ci+Src+Esd Negro 39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9"/>
    <n v="8457780269110"/>
    <s v="18457780269117"/>
    <s v="https://forli.es/flex-esd/272-2223-NEVADA.html#/27-talla-35/42-color-negro_black"/>
    <s v="https://forli.es/index.php?controller=attachment&amp;id_attachment=101"/>
  </r>
  <r>
    <s v="FOR.ATLANTA"/>
    <x v="32"/>
    <s v="FOR.ATLANTA-99-39"/>
    <s v="ZAPATO MF S3+CI+SRC+ESD Negro 39"/>
    <s v="ZAPATO MF S3+CI+SRC+ESD Negro 39. FABRICADO EN MICROFIBRA ACABADO PIEL FULL GRAIN . PUNTERA DE Fibra de vidrio. PLANTILLA Antiperforación textil. SUELA DE PU/PU DOBLE DENSIDAD"/>
    <s v="Zapato Mf S3+Ci+Src+Esd Negro 39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39"/>
    <n v="8457780268878"/>
    <s v="18457780268875"/>
    <s v="https://forli.es/medium-metal-free/266-2145-ATLANTA.html#/27-talla-35/42-color-negro_black"/>
    <s v="https://forli.es/index.php?controller=attachment&amp;id_attachment=117"/>
  </r>
  <r>
    <s v="FOR.SIOUX"/>
    <x v="30"/>
    <s v="FOR.SIOUX-99-40"/>
    <s v="ZAPATO MF S3+CI+SRC+ESD Negro 40"/>
    <s v="ZAPATO MF S3+CI+SRC+ESD Negro 40. FABRICADO EN MICROFIBRA + TEJIDO REFLECTANTE . PUNTERA DE Fibra de vidrio. PLANTILLA Antiperforación textil. SUELA DE PU/PU DOBLE DENSIDAD"/>
    <s v="Zapato Mf S3+Ci+Src+Esd Negro 40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0"/>
    <n v="8457780312595"/>
    <s v="18457780312592"/>
    <s v="https://forli.es/rider/286-2401-SIOUX.html#/27-talla-35/42-color-negro_black"/>
    <s v="https://forli.es/index.php?controller=attachment&amp;id_attachment=115"/>
  </r>
  <r>
    <s v="FOR.NEVADA"/>
    <x v="31"/>
    <s v="FOR.NEVADA-99-40"/>
    <s v="ZAPATO MF S3+CI+SRC+ESD Negro 40"/>
    <s v="ZAPATO MF S3+CI+SRC+ESD Negro 40. FABRICADO EN MICROFIBRA ACABADO NOBUCK. PUNTERA DE Fibra de vidrio. PLANTILLA Antiperforación textil. SUELA DE PU/PU DOBLE DENSIDAD"/>
    <s v="Zapato Mf S3+Ci+Src+Esd Negro 40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0"/>
    <n v="8457780269127"/>
    <s v="18457780269124"/>
    <s v="https://forli.es/flex-esd/272-2223-NEVADA.html#/27-talla-35/42-color-negro_black"/>
    <s v="https://forli.es/index.php?controller=attachment&amp;id_attachment=101"/>
  </r>
  <r>
    <s v="FOR.ATLANTA"/>
    <x v="32"/>
    <s v="FOR.ATLANTA-99-40"/>
    <s v="ZAPATO MF S3+CI+SRC+ESD Negro 40"/>
    <s v="ZAPATO MF S3+CI+SRC+ESD Negro 40. FABRICADO EN MICROFIBRA ACABADO PIEL FULL GRAIN . PUNTERA DE Fibra de vidrio. PLANTILLA Antiperforación textil. SUELA DE PU/PU DOBLE DENSIDAD"/>
    <s v="Zapato Mf S3+Ci+Src+Esd Negro 40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0"/>
    <n v="8457780268885"/>
    <s v="18457780268882"/>
    <s v="https://forli.es/medium-metal-free/266-2145-ATLANTA.html#/27-talla-35/42-color-negro_black"/>
    <s v="https://forli.es/index.php?controller=attachment&amp;id_attachment=117"/>
  </r>
  <r>
    <s v="FOR.SIOUX"/>
    <x v="30"/>
    <s v="FOR.SIOUX-99-41"/>
    <s v="ZAPATO MF S3+CI+SRC+ESD Negro 41"/>
    <s v="ZAPATO MF S3+CI+SRC+ESD Negro 41. FABRICADO EN MICROFIBRA + TEJIDO REFLECTANTE . PUNTERA DE Fibra de vidrio. PLANTILLA Antiperforación textil. SUELA DE PU/PU DOBLE DENSIDAD"/>
    <s v="Zapato Mf S3+Ci+Src+Esd Negro 41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1"/>
    <n v="8457780312601"/>
    <s v="18457780312608"/>
    <s v="https://forli.es/rider/286-2401-SIOUX.html#/27-talla-35/42-color-negro_black"/>
    <s v="https://forli.es/index.php?controller=attachment&amp;id_attachment=115"/>
  </r>
  <r>
    <s v="FOR.NEVADA"/>
    <x v="31"/>
    <s v="FOR.NEVADA-99-41"/>
    <s v="ZAPATO MF S3+CI+SRC+ESD Negro 41"/>
    <s v="ZAPATO MF S3+CI+SRC+ESD Negro 41. FABRICADO EN MICROFIBRA ACABADO NOBUCK. PUNTERA DE Fibra de vidrio. PLANTILLA Antiperforación textil. SUELA DE PU/PU DOBLE DENSIDAD"/>
    <s v="Zapato Mf S3+Ci+Src+Esd Negro 41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1"/>
    <n v="8457780269134"/>
    <s v="18457780269131"/>
    <s v="https://forli.es/flex-esd/272-2223-NEVADA.html#/27-talla-35/42-color-negro_black"/>
    <s v="https://forli.es/index.php?controller=attachment&amp;id_attachment=101"/>
  </r>
  <r>
    <s v="FOR.ATLANTA"/>
    <x v="32"/>
    <s v="FOR.ATLANTA-99-41"/>
    <s v="ZAPATO MF S3+CI+SRC+ESD Negro 41"/>
    <s v="ZAPATO MF S3+CI+SRC+ESD Negro 41. FABRICADO EN MICROFIBRA ACABADO PIEL FULL GRAIN . PUNTERA DE Fibra de vidrio. PLANTILLA Antiperforación textil. SUELA DE PU/PU DOBLE DENSIDAD"/>
    <s v="Zapato Mf S3+Ci+Src+Esd Negro 41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1"/>
    <n v="8457780268892"/>
    <s v="18457780268899"/>
    <s v="https://forli.es/medium-metal-free/266-2145-ATLANTA.html#/27-talla-35/42-color-negro_black"/>
    <s v="https://forli.es/index.php?controller=attachment&amp;id_attachment=117"/>
  </r>
  <r>
    <s v="FOR.SIOUX"/>
    <x v="30"/>
    <s v="FOR.SIOUX-99-42"/>
    <s v="ZAPATO MF S3+CI+SRC+ESD Negro 42"/>
    <s v="ZAPATO MF S3+CI+SRC+ESD Negro 42. FABRICADO EN MICROFIBRA + TEJIDO REFLECTANTE . PUNTERA DE Fibra de vidrio. PLANTILLA Antiperforación textil. SUELA DE PU/PU DOBLE DENSIDAD"/>
    <s v="Zapato Mf S3+Ci+Src+Esd Negro 42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2"/>
    <n v="8457780312618"/>
    <s v="18457780312615"/>
    <s v="https://forli.es/rider/286-2401-SIOUX.html#/27-talla-35/42-color-negro_black"/>
    <s v="https://forli.es/index.php?controller=attachment&amp;id_attachment=115"/>
  </r>
  <r>
    <s v="FOR.NEVADA"/>
    <x v="31"/>
    <s v="FOR.NEVADA-99-42"/>
    <s v="ZAPATO MF S3+CI+SRC+ESD Negro 42"/>
    <s v="ZAPATO MF S3+CI+SRC+ESD Negro 42. FABRICADO EN MICROFIBRA ACABADO NOBUCK. PUNTERA DE Fibra de vidrio. PLANTILLA Antiperforación textil. SUELA DE PU/PU DOBLE DENSIDAD"/>
    <s v="Zapato Mf S3+Ci+Src+Esd Negro 42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2"/>
    <n v="8457780269141"/>
    <s v="18457780269148"/>
    <s v="https://forli.es/flex-esd/272-2223-NEVADA.html#/27-talla-35/42-color-negro_black"/>
    <s v="https://forli.es/index.php?controller=attachment&amp;id_attachment=101"/>
  </r>
  <r>
    <s v="FOR.ATLANTA"/>
    <x v="32"/>
    <s v="FOR.ATLANTA-99-42"/>
    <s v="ZAPATO MF S3+CI+SRC+ESD Negro 42"/>
    <s v="ZAPATO MF S3+CI+SRC+ESD Negro 42. FABRICADO EN MICROFIBRA ACABADO PIEL FULL GRAIN . PUNTERA DE Fibra de vidrio. PLANTILLA Antiperforación textil. SUELA DE PU/PU DOBLE DENSIDAD"/>
    <s v="Zapato Mf S3+Ci+Src+Esd Negro 42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2"/>
    <n v="8457780268908"/>
    <s v="18457780268905"/>
    <s v="https://forli.es/medium-metal-free/266-2145-ATLANTA.html#/27-talla-35/42-color-negro_black"/>
    <s v="https://forli.es/index.php?controller=attachment&amp;id_attachment=117"/>
  </r>
  <r>
    <s v="FOR.SIOUX"/>
    <x v="30"/>
    <s v="FOR.SIOUX-99-43"/>
    <s v="ZAPATO MF S3+CI+SRC+ESD Negro 43"/>
    <s v="ZAPATO MF S3+CI+SRC+ESD Negro 43. FABRICADO EN MICROFIBRA + TEJIDO REFLECTANTE . PUNTERA DE Fibra de vidrio. PLANTILLA Antiperforación textil. SUELA DE PU/PU DOBLE DENSIDAD"/>
    <s v="Zapato Mf S3+Ci+Src+Esd Negro 43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3"/>
    <n v="8457780312625"/>
    <s v="18457780312622"/>
    <s v="https://forli.es/rider/286-2401-SIOUX.html#/27-talla-35/42-color-negro_black"/>
    <s v="https://forli.es/index.php?controller=attachment&amp;id_attachment=115"/>
  </r>
  <r>
    <s v="FOR.NEVADA"/>
    <x v="31"/>
    <s v="FOR.NEVADA-99-43"/>
    <s v="ZAPATO MF S3+CI+SRC+ESD Negro 43"/>
    <s v="ZAPATO MF S3+CI+SRC+ESD Negro 43. FABRICADO EN MICROFIBRA ACABADO NOBUCK. PUNTERA DE Fibra de vidrio. PLANTILLA Antiperforación textil. SUELA DE PU/PU DOBLE DENSIDAD"/>
    <s v="Zapato Mf S3+Ci+Src+Esd Negro 43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3"/>
    <n v="8457780269158"/>
    <s v="18457780269155"/>
    <s v="https://forli.es/flex-esd/272-2223-NEVADA.html#/27-talla-35/42-color-negro_black"/>
    <s v="https://forli.es/index.php?controller=attachment&amp;id_attachment=101"/>
  </r>
  <r>
    <s v="FOR.ATLANTA"/>
    <x v="32"/>
    <s v="FOR.ATLANTA-99-43"/>
    <s v="ZAPATO MF S3+CI+SRC+ESD Negro 43"/>
    <s v="ZAPATO MF S3+CI+SRC+ESD Negro 43. FABRICADO EN MICROFIBRA ACABADO PIEL FULL GRAIN . PUNTERA DE Fibra de vidrio. PLANTILLA Antiperforación textil. SUELA DE PU/PU DOBLE DENSIDAD"/>
    <s v="Zapato Mf S3+Ci+Src+Esd Negro 43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3"/>
    <n v="8457780268915"/>
    <s v="18457780268912"/>
    <s v="https://forli.es/medium-metal-free/266-2145-ATLANTA.html#/27-talla-35/42-color-negro_black"/>
    <s v="https://forli.es/index.php?controller=attachment&amp;id_attachment=117"/>
  </r>
  <r>
    <s v="FOR.SIOUX"/>
    <x v="30"/>
    <s v="FOR.SIOUX-99-44"/>
    <s v="ZAPATO MF S3+CI+SRC+ESD Negro 44"/>
    <s v="ZAPATO MF S3+CI+SRC+ESD Negro 44. FABRICADO EN MICROFIBRA + TEJIDO REFLECTANTE . PUNTERA DE Fibra de vidrio. PLANTILLA Antiperforación textil. SUELA DE PU/PU DOBLE DENSIDAD"/>
    <s v="Zapato Mf S3+Ci+Src+Esd Negro 44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4"/>
    <n v="8457780312632"/>
    <s v="18457780312639"/>
    <s v="https://forli.es/rider/286-2401-SIOUX.html#/27-talla-35/42-color-negro_black"/>
    <s v="https://forli.es/index.php?controller=attachment&amp;id_attachment=115"/>
  </r>
  <r>
    <s v="FOR.NEVADA"/>
    <x v="31"/>
    <s v="FOR.NEVADA-99-44"/>
    <s v="ZAPATO MF S3+CI+SRC+ESD Negro 44"/>
    <s v="ZAPATO MF S3+CI+SRC+ESD Negro 44. FABRICADO EN MICROFIBRA ACABADO NOBUCK. PUNTERA DE Fibra de vidrio. PLANTILLA Antiperforación textil. SUELA DE PU/PU DOBLE DENSIDAD"/>
    <s v="Zapato Mf S3+Ci+Src+Esd Negro 44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4"/>
    <n v="8457780269165"/>
    <s v="18457780269162"/>
    <s v="https://forli.es/flex-esd/272-2223-NEVADA.html#/27-talla-35/42-color-negro_black"/>
    <s v="https://forli.es/index.php?controller=attachment&amp;id_attachment=101"/>
  </r>
  <r>
    <s v="FOR.ATLANTA"/>
    <x v="32"/>
    <s v="FOR.ATLANTA-99-44"/>
    <s v="ZAPATO MF S3+CI+SRC+ESD Negro 44"/>
    <s v="ZAPATO MF S3+CI+SRC+ESD Negro 44. FABRICADO EN MICROFIBRA ACABADO PIEL FULL GRAIN . PUNTERA DE Fibra de vidrio. PLANTILLA Antiperforación textil. SUELA DE PU/PU DOBLE DENSIDAD"/>
    <s v="Zapato Mf S3+Ci+Src+Esd Negro 44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4"/>
    <n v="8457780268922"/>
    <s v="18457780268929"/>
    <s v="https://forli.es/medium-metal-free/266-2145-ATLANTA.html#/27-talla-35/42-color-negro_black"/>
    <s v="https://forli.es/index.php?controller=attachment&amp;id_attachment=117"/>
  </r>
  <r>
    <s v="FOR.SIOUX"/>
    <x v="30"/>
    <s v="FOR.SIOUX-99-45"/>
    <s v="ZAPATO MF S3+CI+SRC+ESD Negro 45"/>
    <s v="ZAPATO MF S3+CI+SRC+ESD Negro 45. FABRICADO EN MICROFIBRA + TEJIDO REFLECTANTE . PUNTERA DE Fibra de vidrio. PLANTILLA Antiperforación textil. SUELA DE PU/PU DOBLE DENSIDAD"/>
    <s v="Zapato Mf S3+Ci+Src+Esd Negro 45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5"/>
    <n v="8457780312649"/>
    <s v="18457780312646"/>
    <s v="https://forli.es/rider/286-2401-SIOUX.html#/27-talla-35/42-color-negro_black"/>
    <s v="https://forli.es/index.php?controller=attachment&amp;id_attachment=115"/>
  </r>
  <r>
    <s v="FOR.NEVADA"/>
    <x v="31"/>
    <s v="FOR.NEVADA-99-45"/>
    <s v="ZAPATO MF S3+CI+SRC+ESD Negro 45"/>
    <s v="ZAPATO MF S3+CI+SRC+ESD Negro 45. FABRICADO EN MICROFIBRA ACABADO NOBUCK. PUNTERA DE Fibra de vidrio. PLANTILLA Antiperforación textil. SUELA DE PU/PU DOBLE DENSIDAD"/>
    <s v="Zapato Mf S3+Ci+Src+Esd Negro 45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5"/>
    <n v="8457780269172"/>
    <s v="18457780269179"/>
    <s v="https://forli.es/flex-esd/272-2223-NEVADA.html#/27-talla-35/42-color-negro_black"/>
    <s v="https://forli.es/index.php?controller=attachment&amp;id_attachment=101"/>
  </r>
  <r>
    <s v="FOR.ATLANTA"/>
    <x v="32"/>
    <s v="FOR.ATLANTA-99-45"/>
    <s v="ZAPATO MF S3+CI+SRC+ESD Negro 45"/>
    <s v="ZAPATO MF S3+CI+SRC+ESD Negro 45. FABRICADO EN MICROFIBRA ACABADO PIEL FULL GRAIN . PUNTERA DE Fibra de vidrio. PLANTILLA Antiperforación textil. SUELA DE PU/PU DOBLE DENSIDAD"/>
    <s v="Zapato Mf S3+Ci+Src+Esd Negro 45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5"/>
    <n v="8457780268939"/>
    <s v="18457780268936"/>
    <s v="https://forli.es/medium-metal-free/266-2145-ATLANTA.html#/27-talla-35/42-color-negro_black"/>
    <s v="https://forli.es/index.php?controller=attachment&amp;id_attachment=117"/>
  </r>
  <r>
    <s v="FOR.SIOUX"/>
    <x v="30"/>
    <s v="FOR.SIOUX-99-46"/>
    <s v="ZAPATO MF S3+CI+SRC+ESD Negro 46"/>
    <s v="ZAPATO MF S3+CI+SRC+ESD Negro 46. FABRICADO EN MICROFIBRA + TEJIDO REFLECTANTE . PUNTERA DE Fibra de vidrio. PLANTILLA Antiperforación textil. SUELA DE PU/PU DOBLE DENSIDAD"/>
    <s v="Zapato Mf S3+Ci+Src+Esd Negro 46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6"/>
    <n v="8457780312656"/>
    <s v="18457780312653"/>
    <s v="https://forli.es/rider/286-2401-SIOUX.html#/27-talla-35/42-color-negro_black"/>
    <s v="https://forli.es/index.php?controller=attachment&amp;id_attachment=115"/>
  </r>
  <r>
    <s v="FOR.NEVADA"/>
    <x v="31"/>
    <s v="FOR.NEVADA-99-46"/>
    <s v="ZAPATO MF S3+CI+SRC+ESD Negro 46"/>
    <s v="ZAPATO MF S3+CI+SRC+ESD Negro 46. FABRICADO EN MICROFIBRA ACABADO NOBUCK. PUNTERA DE Fibra de vidrio. PLANTILLA Antiperforación textil. SUELA DE PU/PU DOBLE DENSIDAD"/>
    <s v="Zapato Mf S3+Ci+Src+Esd Negro 46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6"/>
    <n v="8457780269189"/>
    <s v="18457780269186"/>
    <s v="https://forli.es/flex-esd/272-2223-NEVADA.html#/27-talla-35/42-color-negro_black"/>
    <s v="https://forli.es/index.php?controller=attachment&amp;id_attachment=101"/>
  </r>
  <r>
    <s v="FOR.ATLANTA"/>
    <x v="32"/>
    <s v="FOR.ATLANTA-99-46"/>
    <s v="ZAPATO MF S3+CI+SRC+ESD Negro 46"/>
    <s v="ZAPATO MF S3+CI+SRC+ESD Negro 46. FABRICADO EN MICROFIBRA ACABADO PIEL FULL GRAIN . PUNTERA DE Fibra de vidrio. PLANTILLA Antiperforación textil. SUELA DE PU/PU DOBLE DENSIDAD"/>
    <s v="Zapato Mf S3+Ci+Src+Esd Negro 46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6"/>
    <n v="8457780268946"/>
    <s v="18457780268943"/>
    <s v="https://forli.es/medium-metal-free/266-2145-ATLANTA.html#/27-talla-35/42-color-negro_black"/>
    <s v="https://forli.es/index.php?controller=attachment&amp;id_attachment=117"/>
  </r>
  <r>
    <s v="FOR.SIOUX"/>
    <x v="30"/>
    <s v="FOR.SIOUX-99-47"/>
    <s v="ZAPATO MF S3+CI+SRC+ESD Negro 47"/>
    <s v="ZAPATO MF S3+CI+SRC+ESD Negro 47. FABRICADO EN MICROFIBRA + TEJIDO REFLECTANTE . PUNTERA DE Fibra de vidrio. PLANTILLA Antiperforación textil. SUELA DE PU/PU DOBLE DENSIDAD"/>
    <s v="Zapato Mf S3+Ci+Src+Esd Negro 47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7"/>
    <n v="8457780312663"/>
    <s v="18457780312660"/>
    <s v="https://forli.es/rider/286-2401-SIOUX.html#/27-talla-35/42-color-negro_black"/>
    <s v="https://forli.es/index.php?controller=attachment&amp;id_attachment=115"/>
  </r>
  <r>
    <s v="FOR.NEVADA"/>
    <x v="31"/>
    <s v="FOR.NEVADA-99-47"/>
    <s v="ZAPATO MF S3+CI+SRC+ESD Negro 47"/>
    <s v="ZAPATO MF S3+CI+SRC+ESD Negro 47. FABRICADO EN MICROFIBRA ACABADO NOBUCK. PUNTERA DE Fibra de vidrio. PLANTILLA Antiperforación textil. SUELA DE PU/PU DOBLE DENSIDAD"/>
    <s v="Zapato Mf S3+Ci+Src+Esd Negro 47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7"/>
    <n v="8457780269196"/>
    <s v="18457780269193"/>
    <s v="https://forli.es/flex-esd/272-2223-NEVADA.html#/27-talla-35/42-color-negro_black"/>
    <s v="https://forli.es/index.php?controller=attachment&amp;id_attachment=101"/>
  </r>
  <r>
    <s v="FOR.ATLANTA"/>
    <x v="32"/>
    <s v="FOR.ATLANTA-99-47"/>
    <s v="ZAPATO MF S3+CI+SRC+ESD Negro 47"/>
    <s v="ZAPATO MF S3+CI+SRC+ESD Negro 47. FABRICADO EN MICROFIBRA ACABADO PIEL FULL GRAIN . PUNTERA DE Fibra de vidrio. PLANTILLA Antiperforación textil. SUELA DE PU/PU DOBLE DENSIDAD"/>
    <s v="Zapato Mf S3+Ci+Src+Esd Negro 47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7"/>
    <n v="8457780268953"/>
    <s v="18457780268950"/>
    <s v="https://forli.es/medium-metal-free/266-2145-ATLANTA.html#/27-talla-35/42-color-negro_black"/>
    <s v="https://forli.es/index.php?controller=attachment&amp;id_attachment=117"/>
  </r>
  <r>
    <s v="FOR.SIOUX"/>
    <x v="30"/>
    <s v="FOR.SIOUX-99-48"/>
    <s v="ZAPATO MF S3+CI+SRC+ESD Negro 48"/>
    <s v="ZAPATO MF S3+CI+SRC+ESD Negro 48. FABRICADO EN MICROFIBRA + TEJIDO REFLECTANTE . PUNTERA DE Fibra de vidrio. PLANTILLA Antiperforación textil. SUELA DE PU/PU DOBLE DENSIDAD"/>
    <s v="Zapato Mf S3+Ci+Src+Esd Negro 48. Fabricado En Microfibra + Tejido Reflectante . Puntera De Fibra De Vidrio. Plantilla Antiperforación Textil. Suela De Pu/Pu Doble Densidad"/>
    <n v="27.9"/>
    <x v="1"/>
    <x v="0"/>
    <s v="NEGRO"/>
    <s v="MICROFIBRA + TEJIDO REFLECTANTE "/>
    <s v="Fibra de vidrio"/>
    <s v="Antiperforación textil"/>
    <s v="PU/PU DOBLE DENSIDAD"/>
    <n v="48"/>
    <n v="8457780312670"/>
    <s v="18457780312677"/>
    <s v="https://forli.es/rider/286-2401-SIOUX.html#/27-talla-35/42-color-negro_black"/>
    <s v="https://forli.es/index.php?controller=attachment&amp;id_attachment=115"/>
  </r>
  <r>
    <s v="FOR.NEVADA"/>
    <x v="31"/>
    <s v="FOR.NEVADA-99-48"/>
    <s v="ZAPATO MF S3+CI+SRC+ESD Negro 48"/>
    <s v="ZAPATO MF S3+CI+SRC+ESD Negro 48. FABRICADO EN MICROFIBRA ACABADO NOBUCK. PUNTERA DE Fibra de vidrio. PLANTILLA Antiperforación textil. SUELA DE PU/PU DOBLE DENSIDAD"/>
    <s v="Zapato Mf S3+Ci+Src+Esd Negro 48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8"/>
    <n v="8457780304071"/>
    <s v="18457780304078"/>
    <s v="https://forli.es/flex-esd/272-2223-NEVADA.html#/27-talla-35/42-color-negro_black"/>
    <s v="https://forli.es/index.php?controller=attachment&amp;id_attachment=101"/>
  </r>
  <r>
    <s v="FOR.ATLANTA"/>
    <x v="32"/>
    <s v="FOR.ATLANTA-99-48"/>
    <s v="ZAPATO MF S3+CI+SRC+ESD Negro 48"/>
    <s v="ZAPATO MF S3+CI+SRC+ESD Negro 48. FABRICADO EN MICROFIBRA ACABADO PIEL FULL GRAIN . PUNTERA DE Fibra de vidrio. PLANTILLA Antiperforación textil. SUELA DE PU/PU DOBLE DENSIDAD"/>
    <s v="Zapato Mf S3+Ci+Src+Esd Negro 48. Fabricado En Microfibra Acabado Piel Full Grain . Puntera De Fibra De Vidrio. Plantilla Antiperforación Textil. Suela De Pu/Pu Doble Densidad"/>
    <n v="24.57"/>
    <x v="1"/>
    <x v="0"/>
    <s v="NEGRO"/>
    <s v="MICROFIBRA ACABADO PIEL FULL GRAIN "/>
    <s v="Fibra de vidrio"/>
    <s v="Antiperforación textil"/>
    <s v="PU/PU DOBLE DENSIDAD"/>
    <n v="48"/>
    <n v="8457780304019"/>
    <s v="18457780304016"/>
    <s v="https://forli.es/medium-metal-free/266-2145-ATLANTA.html#/27-talla-35/42-color-negro_black"/>
    <s v="https://forli.es/index.php?controller=attachment&amp;id_attachment=117"/>
  </r>
  <r>
    <s v="FOR.NEVADA"/>
    <x v="31"/>
    <s v="FOR.NEVADA-99-49"/>
    <s v="ZAPATO MF S3+CI+SRC+ESD Negro 49"/>
    <s v="ZAPATO MF S3+CI+SRC+ESD Negro 49. FABRICADO EN MICROFIBRA ACABADO NOBUCK. PUNTERA DE Fibra de vidrio. PLANTILLA Antiperforación textil. SUELA DE PU/PU DOBLE DENSIDAD"/>
    <s v="Zapato Mf S3+Ci+Src+Esd Negro 49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9"/>
    <n v="8457780347153"/>
    <n v="18457780347150"/>
    <s v="https://forli.es/flex-esd/272-2223-NEVADA.html#/27-talla-35/42-color-negro_black"/>
    <s v="https://forli.es/index.php?controller=attachment&amp;id_attachment=102"/>
  </r>
  <r>
    <s v="FOR.NEVADA"/>
    <x v="31"/>
    <s v="FOR.NEVADA-99-50"/>
    <s v="ZAPATO MF S3+CI+SRC+ESD Negro 50"/>
    <s v="ZAPATO MF S3+CI+SRC+ESD Negro 50. FABRICADO EN MICROFIBRA ACABADO NOBUCK. PUNTERA DE Fibra de vidrio. PLANTILLA Antiperforación textil. SUELA DE PU/PU DOBLE DENSIDAD"/>
    <s v="Zapato Mf S3+Ci+Src+Esd Negro 50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50"/>
    <n v="8457780347160"/>
    <n v="18457780347167"/>
    <s v="https://forli.es/flex-esd/272-2223-NEVADA.html#/27-talla-35/42-color-negro_black"/>
    <s v="https://forli.es/index.php?controller=attachment&amp;id_attachment=103"/>
  </r>
  <r>
    <s v="FOR.MEMPHIS"/>
    <x v="33"/>
    <s v="FOR.MEMPHIS-99-35"/>
    <s v="ZAPATO MF S3S+CI+HI+FO+SR+ESD Negro 35"/>
    <s v="ZAPATO MF S3S+CI+HI+FO+SR+ESD Negro 35. FABRICADO EN TEXTIL S3. PUNTERA DE Fibra de vidrio. PLANTILLA Antiperforación textil. SUELA DE PU/PU DOBLE DENSIDAD"/>
    <s v="Zapato Mf S3S+Ci+Hi+Fo+Sr+Esd Negro 35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35"/>
    <n v="8457780335150"/>
    <s v="18457780335157"/>
    <s v="https://forli.es/inicio/381-memphis-s3s-ci-fo-sc-sr-esd.html"/>
    <m/>
  </r>
  <r>
    <s v="FOR.MEMPHIS"/>
    <x v="33"/>
    <s v="FOR.MEMPHIS-99-36"/>
    <s v="ZAPATO MF S3S+CI+HI+FO+SR+ESD Negro 36"/>
    <s v="ZAPATO MF S3S+CI+HI+FO+SR+ESD Negro 36. FABRICADO EN TEXTIL S3. PUNTERA DE Fibra de vidrio. PLANTILLA Antiperforación textil. SUELA DE PU/PU DOBLE DENSIDAD"/>
    <s v="Zapato Mf S3S+Ci+Hi+Fo+Sr+Esd Negro 36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36"/>
    <n v="8457780335167"/>
    <s v="18457780335164"/>
    <s v="https://forli.es/inicio/381-memphis-s3s-ci-fo-sc-sr-esd.html"/>
    <m/>
  </r>
  <r>
    <s v="FOR.MEMPHIS"/>
    <x v="33"/>
    <s v="FOR.MEMPHIS-99-37"/>
    <s v="ZAPATO MF S3S+CI+HI+FO+SR+ESD Negro 37"/>
    <s v="ZAPATO MF S3S+CI+HI+FO+SR+ESD Negro 37. FABRICADO EN TEXTIL S3. PUNTERA DE Fibra de vidrio. PLANTILLA Antiperforación textil. SUELA DE PU/PU DOBLE DENSIDAD"/>
    <s v="Zapato Mf S3S+Ci+Hi+Fo+Sr+Esd Negro 37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37"/>
    <n v="8457780335174"/>
    <s v="18457780335171"/>
    <s v="https://forli.es/inicio/381-memphis-s3s-ci-fo-sc-sr-esd.html"/>
    <m/>
  </r>
  <r>
    <s v="FOR.MEMPHIS"/>
    <x v="33"/>
    <s v="FOR.MEMPHIS-99-38"/>
    <s v="ZAPATO MF S3S+CI+HI+FO+SR+ESD Negro 38"/>
    <s v="ZAPATO MF S3S+CI+HI+FO+SR+ESD Negro 38. FABRICADO EN TEXTIL S3. PUNTERA DE Fibra de vidrio. PLANTILLA Antiperforación textil. SUELA DE PU/PU DOBLE DENSIDAD"/>
    <s v="Zapato Mf S3S+Ci+Hi+Fo+Sr+Esd Negro 38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38"/>
    <n v="8457780335181"/>
    <s v="18457780335188"/>
    <s v="https://forli.es/inicio/381-memphis-s3s-ci-fo-sc-sr-esd.html"/>
    <m/>
  </r>
  <r>
    <s v="FOR.MEMPHIS"/>
    <x v="33"/>
    <s v="FOR.MEMPHIS-99-39"/>
    <s v="ZAPATO MF S3S+CI+HI+FO+SR+ESD Negro 39"/>
    <s v="ZAPATO MF S3S+CI+HI+FO+SR+ESD Negro 39. FABRICADO EN TEXTIL S3. PUNTERA DE Fibra de vidrio. PLANTILLA Antiperforación textil. SUELA DE PU/PU DOBLE DENSIDAD"/>
    <s v="Zapato Mf S3S+Ci+Hi+Fo+Sr+Esd Negro 39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39"/>
    <n v="8457780335198"/>
    <s v="18457780335195"/>
    <s v="https://forli.es/inicio/381-memphis-s3s-ci-fo-sc-sr-esd.html"/>
    <m/>
  </r>
  <r>
    <s v="FOR.MEMPHIS"/>
    <x v="33"/>
    <s v="FOR.MEMPHIS-99-40"/>
    <s v="ZAPATO MF S3S+CI+HI+FO+SR+ESD Negro 40"/>
    <s v="ZAPATO MF S3S+CI+HI+FO+SR+ESD Negro 40. FABRICADO EN TEXTIL S3. PUNTERA DE Fibra de vidrio. PLANTILLA Antiperforación textil. SUELA DE PU/PU DOBLE DENSIDAD"/>
    <s v="Zapato Mf S3S+Ci+Hi+Fo+Sr+Esd Negro 40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0"/>
    <n v="8457780335204"/>
    <s v="18457780335201"/>
    <s v="https://forli.es/inicio/381-memphis-s3s-ci-fo-sc-sr-esd.html"/>
    <m/>
  </r>
  <r>
    <s v="FOR.MEMPHIS"/>
    <x v="33"/>
    <s v="FOR.MEMPHIS-99-41"/>
    <s v="ZAPATO MF S3S+CI+HI+FO+SR+ESD Negro 41"/>
    <s v="ZAPATO MF S3S+CI+HI+FO+SR+ESD Negro 41. FABRICADO EN TEXTIL S3. PUNTERA DE Fibra de vidrio. PLANTILLA Antiperforación textil. SUELA DE PU/PU DOBLE DENSIDAD"/>
    <s v="Zapato Mf S3S+Ci+Hi+Fo+Sr+Esd Negro 41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1"/>
    <n v="8457780335211"/>
    <s v="18457780335218"/>
    <s v="https://forli.es/inicio/381-memphis-s3s-ci-fo-sc-sr-esd.html"/>
    <m/>
  </r>
  <r>
    <s v="FOR.MEMPHIS"/>
    <x v="33"/>
    <s v="FOR.MEMPHIS-99-42"/>
    <s v="ZAPATO MF S3S+CI+HI+FO+SR+ESD Negro 42"/>
    <s v="ZAPATO MF S3S+CI+HI+FO+SR+ESD Negro 42. FABRICADO EN TEXTIL S3. PUNTERA DE Fibra de vidrio. PLANTILLA Antiperforación textil. SUELA DE PU/PU DOBLE DENSIDAD"/>
    <s v="Zapato Mf S3S+Ci+Hi+Fo+Sr+Esd Negro 42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2"/>
    <n v="8457780335228"/>
    <s v="18457780335225"/>
    <s v="https://forli.es/inicio/381-memphis-s3s-ci-fo-sc-sr-esd.html"/>
    <m/>
  </r>
  <r>
    <s v="FOR.MEMPHIS"/>
    <x v="33"/>
    <s v="FOR.MEMPHIS-99-43"/>
    <s v="ZAPATO MF S3S+CI+HI+FO+SR+ESD Negro 43"/>
    <s v="ZAPATO MF S3S+CI+HI+FO+SR+ESD Negro 43. FABRICADO EN TEXTIL S3. PUNTERA DE Fibra de vidrio. PLANTILLA Antiperforación textil. SUELA DE PU/PU DOBLE DENSIDAD"/>
    <s v="Zapato Mf S3S+Ci+Hi+Fo+Sr+Esd Negro 43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3"/>
    <n v="8457780335235"/>
    <s v="18457780335232"/>
    <s v="https://forli.es/inicio/381-memphis-s3s-ci-fo-sc-sr-esd.html"/>
    <m/>
  </r>
  <r>
    <s v="FOR.MEMPHIS"/>
    <x v="33"/>
    <s v="FOR.MEMPHIS-99-44"/>
    <s v="ZAPATO MF S3S+CI+HI+FO+SR+ESD Negro 44"/>
    <s v="ZAPATO MF S3S+CI+HI+FO+SR+ESD Negro 44. FABRICADO EN TEXTIL S3. PUNTERA DE Fibra de vidrio. PLANTILLA Antiperforación textil. SUELA DE PU/PU DOBLE DENSIDAD"/>
    <s v="Zapato Mf S3S+Ci+Hi+Fo+Sr+Esd Negro 44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4"/>
    <n v="8457780335242"/>
    <s v="18457780335249"/>
    <s v="https://forli.es/inicio/381-memphis-s3s-ci-fo-sc-sr-esd.html"/>
    <m/>
  </r>
  <r>
    <s v="FOR.MEMPHIS"/>
    <x v="33"/>
    <s v="FOR.MEMPHIS-99-45"/>
    <s v="ZAPATO MF S3S+CI+HI+FO+SR+ESD Negro 45"/>
    <s v="ZAPATO MF S3S+CI+HI+FO+SR+ESD Negro 45. FABRICADO EN TEXTIL S3. PUNTERA DE Fibra de vidrio. PLANTILLA Antiperforación textil. SUELA DE PU/PU DOBLE DENSIDAD"/>
    <s v="Zapato Mf S3S+Ci+Hi+Fo+Sr+Esd Negro 45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5"/>
    <n v="8457780335259"/>
    <s v="18457780335256"/>
    <s v="https://forli.es/inicio/381-memphis-s3s-ci-fo-sc-sr-esd.html"/>
    <m/>
  </r>
  <r>
    <s v="FOR.MEMPHIS"/>
    <x v="33"/>
    <s v="FOR.MEMPHIS-99-46"/>
    <s v="ZAPATO MF S3S+CI+HI+FO+SR+ESD Negro 46"/>
    <s v="ZAPATO MF S3S+CI+HI+FO+SR+ESD Negro 46. FABRICADO EN TEXTIL S3. PUNTERA DE Fibra de vidrio. PLANTILLA Antiperforación textil. SUELA DE PU/PU DOBLE DENSIDAD"/>
    <s v="Zapato Mf S3S+Ci+Hi+Fo+Sr+Esd Negro 46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6"/>
    <n v="8457780335266"/>
    <s v="18457780335263"/>
    <s v="https://forli.es/inicio/381-memphis-s3s-ci-fo-sc-sr-esd.html"/>
    <m/>
  </r>
  <r>
    <s v="FOR.MEMPHIS"/>
    <x v="33"/>
    <s v="FOR.MEMPHIS-99-47"/>
    <s v="ZAPATO MF S3S+CI+HI+FO+SR+ESD Negro 47"/>
    <s v="ZAPATO MF S3S+CI+HI+FO+SR+ESD Negro 47. FABRICADO EN TEXTIL S3. PUNTERA DE Fibra de vidrio. PLANTILLA Antiperforación textil. SUELA DE PU/PU DOBLE DENSIDAD"/>
    <s v="Zapato Mf S3S+Ci+Hi+Fo+Sr+Esd Negro 47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7"/>
    <n v="8457780335273"/>
    <s v="18457780335270"/>
    <s v="https://forli.es/inicio/381-memphis-s3s-ci-fo-sc-sr-esd.html"/>
    <m/>
  </r>
  <r>
    <s v="FOR.MEMPHIS"/>
    <x v="33"/>
    <s v="FOR.MEMPHIS-99-48"/>
    <s v="ZAPATO MF S3S+CI+HI+FO+SR+ESD Negro 48"/>
    <s v="ZAPATO MF S3S+CI+HI+FO+SR+ESD Negro 48. FABRICADO EN TEXTIL S3. PUNTERA DE Fibra de vidrio. PLANTILLA Antiperforación textil. SUELA DE PU/PU DOBLE DENSIDAD"/>
    <s v="Zapato Mf S3S+Ci+Hi+Fo+Sr+Esd Negro 48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8"/>
    <n v="8457780335280"/>
    <s v="18457780335287"/>
    <s v="https://forli.es/inicio/381-memphis-s3s-ci-fo-sc-sr-esd.html"/>
    <m/>
  </r>
  <r>
    <s v="FOR.MEMPHIS"/>
    <x v="33"/>
    <s v="FOR.MEMPHIS-99-49"/>
    <s v="ZAPATO MF S3S+CI+HI+FO+SR+ESD Negro 49"/>
    <s v="ZAPATO MF S3S+CI+HI+FO+SR+ESD Negro 49. FABRICADO EN TEXTIL S3. PUNTERA DE Fibra de vidrio. PLANTILLA Antiperforación textil. SUELA DE PU/PU DOBLE DENSIDAD"/>
    <s v="Zapato Mf S3S+Ci+Hi+Fo+Sr+Esd Negro 49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49"/>
    <n v="8457780335297"/>
    <s v="18457780335294"/>
    <s v="https://forli.es/inicio/381-memphis-s3s-ci-fo-sc-sr-esd.html"/>
    <m/>
  </r>
  <r>
    <s v="FOR.MEMPHIS"/>
    <x v="33"/>
    <s v="FOR.MEMPHIS-99-50"/>
    <s v="ZAPATO MF S3S+CI+HI+FO+SR+ESD Negro 50"/>
    <s v="ZAPATO MF S3S+CI+HI+FO+SR+ESD Negro 50. FABRICADO EN TEXTIL S3. PUNTERA DE Fibra de vidrio. PLANTILLA Antiperforación textil. SUELA DE PU/PU DOBLE DENSIDAD"/>
    <s v="Zapato Mf S3S+Ci+Hi+Fo+Sr+Esd Negro 50. Fabricado En Textil S3. Puntera De Fibra De Vidrio. Plantilla Antiperforación Textil. Suela De Pu/Pu Doble Densidad"/>
    <n v="24.5"/>
    <x v="1"/>
    <x v="0"/>
    <s v="NEGRO"/>
    <s v="TEXTIL S3"/>
    <s v="Fibra de vidrio"/>
    <s v="Antiperforación textil"/>
    <s v="PU/PU DOBLE DENSIDAD"/>
    <n v="50"/>
    <n v="8457780335303"/>
    <s v="18457780335300"/>
    <s v="https://forli.es/inicio/381-memphis-s3s-ci-fo-sc-sr-esd.html"/>
    <m/>
  </r>
  <r>
    <s v="FOR.VIRGINIA"/>
    <x v="34"/>
    <s v="FOR.VIRGINIA-99-35"/>
    <s v="ZAPATO MF SERRAJE S1+P+CI+SRC+ESD Negro 35"/>
    <s v="ZAPATO MF SERRAJE S1+P+CI+SRC+ESD Negro 35. FABRICADO EN MICROFIBRA ACABADO PIEL SERRAJE TRANSPIRABLE. PUNTERA DE Fibra de vidrio. PLANTILLA Antiperforación textil. SUELA DE PU/PU DOBLE DENSIDAD"/>
    <s v="Zapato Mf Serraje S1+P+Ci+Src+Esd Negro 35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35"/>
    <n v="8457780304040"/>
    <s v="18457780304047"/>
    <s v="https://forli.es/medium-metal-free/270-2201-VIRGINIA.html#/27-talla-35/42-color-negro_black"/>
    <s v="https://forli.es/index.php?controller=attachment&amp;id_attachment=118"/>
  </r>
  <r>
    <s v="FOR.VIRGINIA"/>
    <x v="34"/>
    <s v="FOR.VIRGINIA-99-36"/>
    <s v="ZAPATO MF SERRAJE S1+P+CI+SRC+ESD Negro 36"/>
    <s v="ZAPATO MF SERRAJE S1+P+CI+SRC+ESD Negro 36. FABRICADO EN MICROFIBRA ACABADO PIEL SERRAJE TRANSPIRABLE. PUNTERA DE Fibra de vidrio. PLANTILLA Antiperforación textil. SUELA DE PU/PU DOBLE DENSIDAD"/>
    <s v="Zapato Mf Serraje S1+P+Ci+Src+Esd Negro 36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36"/>
    <n v="8457780268960"/>
    <s v="18457780268967"/>
    <s v="https://forli.es/medium-metal-free/270-2201-VIRGINIA.html#/27-talla-35/42-color-negro_black"/>
    <s v="https://forli.es/index.php?controller=attachment&amp;id_attachment=118"/>
  </r>
  <r>
    <s v="FOR.VIRGINIA"/>
    <x v="34"/>
    <s v="FOR.VIRGINIA-99-37"/>
    <s v="ZAPATO MF SERRAJE S1+P+CI+SRC+ESD Negro 37"/>
    <s v="ZAPATO MF SERRAJE S1+P+CI+SRC+ESD Negro 37. FABRICADO EN MICROFIBRA ACABADO PIEL SERRAJE TRANSPIRABLE. PUNTERA DE Fibra de vidrio. PLANTILLA Antiperforación textil. SUELA DE PU/PU DOBLE DENSIDAD"/>
    <s v="Zapato Mf Serraje S1+P+Ci+Src+Esd Negro 37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37"/>
    <n v="8457780268977"/>
    <s v="18457780268974"/>
    <s v="https://forli.es/medium-metal-free/270-2201-VIRGINIA.html#/27-talla-35/42-color-negro_black"/>
    <s v="https://forli.es/index.php?controller=attachment&amp;id_attachment=118"/>
  </r>
  <r>
    <s v="FOR.VIRGINIA"/>
    <x v="34"/>
    <s v="FOR.VIRGINIA-99-38"/>
    <s v="ZAPATO MF SERRAJE S1+P+CI+SRC+ESD Negro 38"/>
    <s v="ZAPATO MF SERRAJE S1+P+CI+SRC+ESD Negro 38. FABRICADO EN MICROFIBRA ACABADO PIEL SERRAJE TRANSPIRABLE. PUNTERA DE Fibra de vidrio. PLANTILLA Antiperforación textil. SUELA DE PU/PU DOBLE DENSIDAD"/>
    <s v="Zapato Mf Serraje S1+P+Ci+Src+Esd Negro 38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38"/>
    <n v="8457780268984"/>
    <s v="18457780268981"/>
    <s v="https://forli.es/medium-metal-free/270-2201-VIRGINIA.html#/27-talla-35/42-color-negro_black"/>
    <s v="https://forli.es/index.php?controller=attachment&amp;id_attachment=118"/>
  </r>
  <r>
    <s v="FOR.VIRGINIA"/>
    <x v="34"/>
    <s v="FOR.VIRGINIA-99-39"/>
    <s v="ZAPATO MF SERRAJE S1+P+CI+SRC+ESD Negro 39"/>
    <s v="ZAPATO MF SERRAJE S1+P+CI+SRC+ESD Negro 39. FABRICADO EN MICROFIBRA ACABADO PIEL SERRAJE TRANSPIRABLE. PUNTERA DE Fibra de vidrio. PLANTILLA Antiperforación textil. SUELA DE PU/PU DOBLE DENSIDAD"/>
    <s v="Zapato Mf Serraje S1+P+Ci+Src+Esd Negro 39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39"/>
    <n v="8457780268991"/>
    <s v="18457780268998"/>
    <s v="https://forli.es/medium-metal-free/270-2201-VIRGINIA.html#/27-talla-35/42-color-negro_black"/>
    <s v="https://forli.es/index.php?controller=attachment&amp;id_attachment=118"/>
  </r>
  <r>
    <s v="FOR.VIRGINIA"/>
    <x v="34"/>
    <s v="FOR.VIRGINIA-99-40"/>
    <s v="ZAPATO MF SERRAJE S1+P+CI+SRC+ESD Negro 40"/>
    <s v="ZAPATO MF SERRAJE S1+P+CI+SRC+ESD Negro 40. FABRICADO EN MICROFIBRA ACABADO PIEL SERRAJE TRANSPIRABLE. PUNTERA DE Fibra de vidrio. PLANTILLA Antiperforación textil. SUELA DE PU/PU DOBLE DENSIDAD"/>
    <s v="Zapato Mf Serraje S1+P+Ci+Src+Esd Negro 40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0"/>
    <n v="8457780269004"/>
    <s v="18457780269001"/>
    <s v="https://forli.es/medium-metal-free/270-2201-VIRGINIA.html#/27-talla-35/42-color-negro_black"/>
    <s v="https://forli.es/index.php?controller=attachment&amp;id_attachment=118"/>
  </r>
  <r>
    <s v="FOR.VIRGINIA"/>
    <x v="34"/>
    <s v="FOR.VIRGINIA-99-41"/>
    <s v="ZAPATO MF SERRAJE S1+P+CI+SRC+ESD Negro 41"/>
    <s v="ZAPATO MF SERRAJE S1+P+CI+SRC+ESD Negro 41. FABRICADO EN MICROFIBRA ACABADO PIEL SERRAJE TRANSPIRABLE. PUNTERA DE Fibra de vidrio. PLANTILLA Antiperforación textil. SUELA DE PU/PU DOBLE DENSIDAD"/>
    <s v="Zapato Mf Serraje S1+P+Ci+Src+Esd Negro 41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1"/>
    <n v="8457780269011"/>
    <s v="18457780269018"/>
    <s v="https://forli.es/medium-metal-free/270-2201-VIRGINIA.html#/27-talla-35/42-color-negro_black"/>
    <s v="https://forli.es/index.php?controller=attachment&amp;id_attachment=118"/>
  </r>
  <r>
    <s v="FOR.VIRGINIA"/>
    <x v="34"/>
    <s v="FOR.VIRGINIA-99-42"/>
    <s v="ZAPATO MF SERRAJE S1+P+CI+SRC+ESD Negro 42"/>
    <s v="ZAPATO MF SERRAJE S1+P+CI+SRC+ESD Negro 42. FABRICADO EN MICROFIBRA ACABADO PIEL SERRAJE TRANSPIRABLE. PUNTERA DE Fibra de vidrio. PLANTILLA Antiperforación textil. SUELA DE PU/PU DOBLE DENSIDAD"/>
    <s v="Zapato Mf Serraje S1+P+Ci+Src+Esd Negro 42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2"/>
    <n v="8457780269028"/>
    <s v="18457780269025"/>
    <s v="https://forli.es/medium-metal-free/270-2201-VIRGINIA.html#/27-talla-35/42-color-negro_black"/>
    <s v="https://forli.es/index.php?controller=attachment&amp;id_attachment=118"/>
  </r>
  <r>
    <s v="FOR.VIRGINIA"/>
    <x v="34"/>
    <s v="FOR.VIRGINIA-99-43"/>
    <s v="ZAPATO MF SERRAJE S1+P+CI+SRC+ESD Negro 43"/>
    <s v="ZAPATO MF SERRAJE S1+P+CI+SRC+ESD Negro 43. FABRICADO EN MICROFIBRA ACABADO PIEL SERRAJE TRANSPIRABLE. PUNTERA DE Fibra de vidrio. PLANTILLA Antiperforación textil. SUELA DE PU/PU DOBLE DENSIDAD"/>
    <s v="Zapato Mf Serraje S1+P+Ci+Src+Esd Negro 43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3"/>
    <n v="8457780269035"/>
    <s v="18457780269032"/>
    <s v="https://forli.es/medium-metal-free/270-2201-VIRGINIA.html#/27-talla-35/42-color-negro_black"/>
    <s v="https://forli.es/index.php?controller=attachment&amp;id_attachment=118"/>
  </r>
  <r>
    <s v="FOR.VIRGINIA"/>
    <x v="34"/>
    <s v="FOR.VIRGINIA-99-44"/>
    <s v="ZAPATO MF SERRAJE S1+P+CI+SRC+ESD Negro 44"/>
    <s v="ZAPATO MF SERRAJE S1+P+CI+SRC+ESD Negro 44. FABRICADO EN MICROFIBRA ACABADO PIEL SERRAJE TRANSPIRABLE. PUNTERA DE Fibra de vidrio. PLANTILLA Antiperforación textil. SUELA DE PU/PU DOBLE DENSIDAD"/>
    <s v="Zapato Mf Serraje S1+P+Ci+Src+Esd Negro 44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4"/>
    <n v="8457780269042"/>
    <s v="18457780269049"/>
    <s v="https://forli.es/medium-metal-free/270-2201-VIRGINIA.html#/27-talla-35/42-color-negro_black"/>
    <s v="https://forli.es/index.php?controller=attachment&amp;id_attachment=118"/>
  </r>
  <r>
    <s v="FOR.VIRGINIA"/>
    <x v="34"/>
    <s v="FOR.VIRGINIA-99-45"/>
    <s v="ZAPATO MF SERRAJE S1+P+CI+SRC+ESD Negro 45"/>
    <s v="ZAPATO MF SERRAJE S1+P+CI+SRC+ESD Negro 45. FABRICADO EN MICROFIBRA ACABADO PIEL SERRAJE TRANSPIRABLE. PUNTERA DE Fibra de vidrio. PLANTILLA Antiperforación textil. SUELA DE PU/PU DOBLE DENSIDAD"/>
    <s v="Zapato Mf Serraje S1+P+Ci+Src+Esd Negro 45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5"/>
    <n v="8457780269059"/>
    <s v="18457780269056"/>
    <s v="https://forli.es/medium-metal-free/270-2201-VIRGINIA.html#/27-talla-35/42-color-negro_black"/>
    <s v="https://forli.es/index.php?controller=attachment&amp;id_attachment=118"/>
  </r>
  <r>
    <s v="FOR.VIRGINIA"/>
    <x v="34"/>
    <s v="FOR.VIRGINIA-99-46"/>
    <s v="ZAPATO MF SERRAJE S1+P+CI+SRC+ESD Negro 46"/>
    <s v="ZAPATO MF SERRAJE S1+P+CI+SRC+ESD Negro 46. FABRICADO EN MICROFIBRA ACABADO PIEL SERRAJE TRANSPIRABLE. PUNTERA DE Fibra de vidrio. PLANTILLA Antiperforación textil. SUELA DE PU/PU DOBLE DENSIDAD"/>
    <s v="Zapato Mf Serraje S1+P+Ci+Src+Esd Negro 46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6"/>
    <n v="8457780269066"/>
    <s v="18457780269063"/>
    <s v="https://forli.es/medium-metal-free/270-2201-VIRGINIA.html#/27-talla-35/42-color-negro_black"/>
    <s v="https://forli.es/index.php?controller=attachment&amp;id_attachment=118"/>
  </r>
  <r>
    <s v="FOR.VIRGINIA"/>
    <x v="34"/>
    <s v="FOR.VIRGINIA-99-47"/>
    <s v="ZAPATO MF SERRAJE S1+P+CI+SRC+ESD Negro 47"/>
    <s v="ZAPATO MF SERRAJE S1+P+CI+SRC+ESD Negro 47. FABRICADO EN MICROFIBRA ACABADO PIEL SERRAJE TRANSPIRABLE. PUNTERA DE Fibra de vidrio. PLANTILLA Antiperforación textil. SUELA DE PU/PU DOBLE DENSIDAD"/>
    <s v="Zapato Mf Serraje S1+P+Ci+Src+Esd Negro 47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7"/>
    <n v="8457780269073"/>
    <s v="18457780269070"/>
    <s v="https://forli.es/medium-metal-free/270-2201-VIRGINIA.html#/27-talla-35/42-color-negro_black"/>
    <s v="https://forli.es/index.php?controller=attachment&amp;id_attachment=118"/>
  </r>
  <r>
    <s v="FOR.VIRGINIA"/>
    <x v="34"/>
    <s v="FOR.VIRGINIA-99-48"/>
    <s v="ZAPATO MF SERRAJE S1+P+CI+SRC+ESD Negro 48"/>
    <s v="ZAPATO MF SERRAJE S1+P+CI+SRC+ESD Negro 48. FABRICADO EN MICROFIBRA ACABADO PIEL SERRAJE TRANSPIRABLE. PUNTERA DE Fibra de vidrio. PLANTILLA Antiperforación textil. SUELA DE PU/PU DOBLE DENSIDAD"/>
    <s v="Zapato Mf Serraje S1+P+Ci+Src+Esd Negro 48. Fabricado En Microfibra Acabado Piel Serraje Transpirable. Puntera De Fibra De Vidrio. Plantilla Antiperforación Textil. Suela De Pu/Pu Doble Densidad"/>
    <n v="21.8"/>
    <x v="1"/>
    <x v="0"/>
    <s v="NEGRO"/>
    <s v="MICROFIBRA ACABADO PIEL SERRAJE TRANSPIRABLE"/>
    <s v="Fibra de vidrio"/>
    <s v="Antiperforación textil"/>
    <s v="PU/PU DOBLE DENSIDAD"/>
    <n v="48"/>
    <n v="8457780304057"/>
    <s v="18457780304054"/>
    <s v="https://forli.es/medium-metal-free/270-2201-VIRGINIA.html#/27-talla-35/42-color-negro_black"/>
    <s v="https://forli.es/index.php?controller=attachment&amp;id_attachment=118"/>
  </r>
  <r>
    <s v="FOR.FLORIDA"/>
    <x v="35"/>
    <s v="FOR.FLORIDA-99-34"/>
    <s v="ZAPATO MUJER MF S3+CI+SRC+ESD Negro 34"/>
    <s v="ZAPATO MUJER MF S3+CI+SRC+ESD Negro 34. FABRICADO EN MICROFIBRA ACABADO NOBUCK. PUNTERA DE Fibra de vidrio. PLANTILLA Antiperforación textil. SUELA DE PU/PU DOBLE DENSIDAD"/>
    <s v="Zapato Mujer Mf S3+Ci+Src+Esd Negro 34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4"/>
    <n v="8457780310638"/>
    <s v="18457780310635"/>
    <s v="https://forli.es/flex-esd/283-2365-FLORIDA.html#/26-talla-34/42-color-negro_black"/>
    <s v="https://forli.es/index.php?controller=attachment&amp;id_attachment=92"/>
  </r>
  <r>
    <s v="FOR.FLORIDA"/>
    <x v="35"/>
    <s v="FOR.FLORIDA-99-35"/>
    <s v="ZAPATO MUJER MF S3+CI+SRC+ESD Negro 35"/>
    <s v="ZAPATO MUJER MF S3+CI+SRC+ESD Negro 35. FABRICADO EN MICROFIBRA ACABADO NOBUCK. PUNTERA DE Fibra de vidrio. PLANTILLA Antiperforación textil. SUELA DE PU/PU DOBLE DENSIDAD"/>
    <s v="Zapato Mujer Mf S3+Ci+Src+Esd Negro 35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5"/>
    <n v="8457780310645"/>
    <s v="18457780310642"/>
    <s v="https://forli.es/flex-esd/283-2365-FLORIDA.html#/26-talla-34/42-color-negro_black"/>
    <s v="https://forli.es/index.php?controller=attachment&amp;id_attachment=92"/>
  </r>
  <r>
    <s v="FOR.FLORIDA"/>
    <x v="35"/>
    <s v="FOR.FLORIDA-99-36"/>
    <s v="ZAPATO MUJER MF S3+CI+SRC+ESD Negro 36"/>
    <s v="ZAPATO MUJER MF S3+CI+SRC+ESD Negro 36. FABRICADO EN MICROFIBRA ACABADO NOBUCK. PUNTERA DE Fibra de vidrio. PLANTILLA Antiperforación textil. SUELA DE PU/PU DOBLE DENSIDAD"/>
    <s v="Zapato Mujer Mf S3+Ci+Src+Esd Negro 36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6"/>
    <n v="8457780310652"/>
    <s v="18457780310659"/>
    <s v="https://forli.es/flex-esd/283-2365-FLORIDA.html#/26-talla-34/42-color-negro_black"/>
    <s v="https://forli.es/index.php?controller=attachment&amp;id_attachment=92"/>
  </r>
  <r>
    <s v="FOR.FLORIDA"/>
    <x v="35"/>
    <s v="FOR.FLORIDA-99-37"/>
    <s v="ZAPATO MUJER MF S3+CI+SRC+ESD Negro 37"/>
    <s v="ZAPATO MUJER MF S3+CI+SRC+ESD Negro 37. FABRICADO EN MICROFIBRA ACABADO NOBUCK. PUNTERA DE Fibra de vidrio. PLANTILLA Antiperforación textil. SUELA DE PU/PU DOBLE DENSIDAD"/>
    <s v="Zapato Mujer Mf S3+Ci+Src+Esd Negro 37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7"/>
    <n v="8457780310669"/>
    <s v="18457780310666"/>
    <s v="https://forli.es/flex-esd/283-2365-FLORIDA.html#/26-talla-34/42-color-negro_black"/>
    <s v="https://forli.es/index.php?controller=attachment&amp;id_attachment=92"/>
  </r>
  <r>
    <s v="FOR.FLORIDA"/>
    <x v="35"/>
    <s v="FOR.FLORIDA-99-38"/>
    <s v="ZAPATO MUJER MF S3+CI+SRC+ESD Negro 38"/>
    <s v="ZAPATO MUJER MF S3+CI+SRC+ESD Negro 38. FABRICADO EN MICROFIBRA ACABADO NOBUCK. PUNTERA DE Fibra de vidrio. PLANTILLA Antiperforación textil. SUELA DE PU/PU DOBLE DENSIDAD"/>
    <s v="Zapato Mujer Mf S3+Ci+Src+Esd Negro 38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8"/>
    <n v="8457780310676"/>
    <s v="18457780310673"/>
    <s v="https://forli.es/flex-esd/283-2365-FLORIDA.html#/26-talla-34/42-color-negro_black"/>
    <s v="https://forli.es/index.php?controller=attachment&amp;id_attachment=92"/>
  </r>
  <r>
    <s v="FOR.FLORIDA"/>
    <x v="35"/>
    <s v="FOR.FLORIDA-99-39"/>
    <s v="ZAPATO MUJER MF S3+CI+SRC+ESD Negro 39"/>
    <s v="ZAPATO MUJER MF S3+CI+SRC+ESD Negro 39. FABRICADO EN MICROFIBRA ACABADO NOBUCK. PUNTERA DE Fibra de vidrio. PLANTILLA Antiperforación textil. SUELA DE PU/PU DOBLE DENSIDAD"/>
    <s v="Zapato Mujer Mf S3+Ci+Src+Esd Negro 39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39"/>
    <n v="8457780310683"/>
    <s v="18457780310680"/>
    <s v="https://forli.es/flex-esd/283-2365-FLORIDA.html#/26-talla-34/42-color-negro_black"/>
    <s v="https://forli.es/index.php?controller=attachment&amp;id_attachment=92"/>
  </r>
  <r>
    <s v="FOR.FLORIDA"/>
    <x v="35"/>
    <s v="FOR.FLORIDA-99-40"/>
    <s v="ZAPATO MUJER MF S3+CI+SRC+ESD Negro 40"/>
    <s v="ZAPATO MUJER MF S3+CI+SRC+ESD Negro 40. FABRICADO EN MICROFIBRA ACABADO NOBUCK. PUNTERA DE Fibra de vidrio. PLANTILLA Antiperforación textil. SUELA DE PU/PU DOBLE DENSIDAD"/>
    <s v="Zapato Mujer Mf S3+Ci+Src+Esd Negro 40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0"/>
    <n v="8457780310690"/>
    <s v="18457780310697"/>
    <s v="https://forli.es/flex-esd/283-2365-FLORIDA.html#/26-talla-34/42-color-negro_black"/>
    <s v="https://forli.es/index.php?controller=attachment&amp;id_attachment=92"/>
  </r>
  <r>
    <s v="FOR.FLORIDA"/>
    <x v="35"/>
    <s v="FOR.FLORIDA-99-41"/>
    <s v="ZAPATO MUJER MF S3+CI+SRC+ESD Negro 41"/>
    <s v="ZAPATO MUJER MF S3+CI+SRC+ESD Negro 41. FABRICADO EN MICROFIBRA ACABADO NOBUCK. PUNTERA DE Fibra de vidrio. PLANTILLA Antiperforación textil. SUELA DE PU/PU DOBLE DENSIDAD"/>
    <s v="Zapato Mujer Mf S3+Ci+Src+Esd Negro 41. Fabricado En Microfibra Acabado Nobuck. Puntera De Fibra De Vidrio. Plantilla Antiperforación Textil. Suela De Pu/Pu Doble Densidad"/>
    <n v="24.56"/>
    <x v="1"/>
    <x v="0"/>
    <s v="NEGRO"/>
    <s v="MICROFIBRA ACABADO NOBUCK"/>
    <s v="Fibra de vidrio"/>
    <s v="Antiperforación textil"/>
    <s v="PU/PU DOBLE DENSIDAD"/>
    <n v="41"/>
    <n v="8457780310706"/>
    <s v="18457780310703"/>
    <s v="https://forli.es/flex-esd/283-2365-FLORIDA.html#/26-talla-34/42-color-negro_black"/>
    <s v="https://forli.es/index.php?controller=attachment&amp;id_attachment=92"/>
  </r>
  <r>
    <s v="FOR.VEGAS"/>
    <x v="36"/>
    <s v="FOR.VEGAS-99-35"/>
    <s v="ZAPATO O1+FO+SR Verde-morado 35"/>
    <s v="ZAPATO O1+FO+SR Verde-morado 35. FABRICADO EN TEXTIL TRANSPIRABLE CON REFUERZO EN PUNTERA Y TRASERA. PUNTERA DE No lleva. PLANTILLA No lleva. SUELA DE EVA/CAUCHO-NITRILO"/>
    <s v="Zapato O1+Fo+Sr Verde-Morado 35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35"/>
    <n v="8457780313523"/>
    <s v="18457780313520"/>
    <s v="https://forli.es/neo-sanitario/343-3101-VEGAS.html#/27-talla-35/42-color-negro_black"/>
    <s v="https://forli.es/index.php?controller=attachment&amp;id_attachment=166"/>
  </r>
  <r>
    <s v="FOR.VEGAS"/>
    <x v="36"/>
    <s v="FOR.VEGAS-99-36"/>
    <s v="ZAPATO O1+FO+SR Verde-morado 36"/>
    <s v="ZAPATO O1+FO+SR Verde-morado 36. FABRICADO EN TEXTIL TRANSPIRABLE CON REFUERZO EN PUNTERA Y TRASERA. PUNTERA DE No lleva. PLANTILLA No lleva. SUELA DE EVA/CAUCHO-NITRILO"/>
    <s v="Zapato O1+Fo+Sr Verde-Morado 36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36"/>
    <n v="8457780313530"/>
    <s v="18457780313537"/>
    <s v="https://forli.es/neo-sanitario/343-3101-VEGAS.html#/27-talla-35/42-color-negro_black"/>
    <s v="https://forli.es/index.php?controller=attachment&amp;id_attachment=166"/>
  </r>
  <r>
    <s v="FOR.VEGAS"/>
    <x v="36"/>
    <s v="FOR.VEGAS-99-37"/>
    <s v="ZAPATO O1+FO+SR Verde-morado 37"/>
    <s v="ZAPATO O1+FO+SR Verde-morado 37. FABRICADO EN TEXTIL TRANSPIRABLE CON REFUERZO EN PUNTERA Y TRASERA. PUNTERA DE No lleva. PLANTILLA No lleva. SUELA DE EVA/CAUCHO-NITRILO"/>
    <s v="Zapato O1+Fo+Sr Verde-Morado 37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37"/>
    <n v="8457780313547"/>
    <s v="18457780313544"/>
    <s v="https://forli.es/neo-sanitario/343-3101-VEGAS.html#/27-talla-35/42-color-negro_black"/>
    <s v="https://forli.es/index.php?controller=attachment&amp;id_attachment=166"/>
  </r>
  <r>
    <s v="FOR.VEGAS"/>
    <x v="36"/>
    <s v="FOR.VEGAS-99-38"/>
    <s v="ZAPATO O1+FO+SR Verde-morado 38"/>
    <s v="ZAPATO O1+FO+SR Verde-morado 38. FABRICADO EN TEXTIL TRANSPIRABLE CON REFUERZO EN PUNTERA Y TRASERA. PUNTERA DE No lleva. PLANTILLA No lleva. SUELA DE EVA/CAUCHO-NITRILO"/>
    <s v="Zapato O1+Fo+Sr Verde-Morado 38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38"/>
    <n v="8457780313554"/>
    <s v="18457780313551"/>
    <s v="https://forli.es/neo-sanitario/343-3101-VEGAS.html#/27-talla-35/42-color-negro_black"/>
    <s v="https://forli.es/index.php?controller=attachment&amp;id_attachment=166"/>
  </r>
  <r>
    <s v="FOR.VEGAS"/>
    <x v="36"/>
    <s v="FOR.VEGAS-99-39"/>
    <s v="ZAPATO O1+FO+SR Verde-morado 39"/>
    <s v="ZAPATO O1+FO+SR Verde-morado 39. FABRICADO EN TEXTIL TRANSPIRABLE CON REFUERZO EN PUNTERA Y TRASERA. PUNTERA DE No lleva. PLANTILLA No lleva. SUELA DE EVA/CAUCHO-NITRILO"/>
    <s v="Zapato O1+Fo+Sr Verde-Morado 39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39"/>
    <n v="8457780313561"/>
    <s v="18457780313568"/>
    <s v="https://forli.es/neo-sanitario/343-3101-VEGAS.html#/27-talla-35/42-color-negro_black"/>
    <s v="https://forli.es/index.php?controller=attachment&amp;id_attachment=166"/>
  </r>
  <r>
    <s v="FOR.VEGAS"/>
    <x v="36"/>
    <s v="FOR.VEGAS-99-40"/>
    <s v="ZAPATO O1+FO+SR Verde-morado 40"/>
    <s v="ZAPATO O1+FO+SR Verde-morado 40. FABRICADO EN TEXTIL TRANSPIRABLE CON REFUERZO EN PUNTERA Y TRASERA. PUNTERA DE No lleva. PLANTILLA No lleva. SUELA DE EVA/CAUCHO-NITRILO"/>
    <s v="Zapato O1+Fo+Sr Verde-Morado 40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0"/>
    <n v="8457780313578"/>
    <s v="18457780313575"/>
    <s v="https://forli.es/neo-sanitario/343-3101-VEGAS.html#/27-talla-35/42-color-negro_black"/>
    <s v="https://forli.es/index.php?controller=attachment&amp;id_attachment=166"/>
  </r>
  <r>
    <s v="FOR.VEGAS"/>
    <x v="36"/>
    <s v="FOR.VEGAS-99-41"/>
    <s v="ZAPATO O1+FO+SR Verde-morado 41"/>
    <s v="ZAPATO O1+FO+SR Verde-morado 41. FABRICADO EN TEXTIL TRANSPIRABLE CON REFUERZO EN PUNTERA Y TRASERA. PUNTERA DE No lleva. PLANTILLA No lleva. SUELA DE EVA/CAUCHO-NITRILO"/>
    <s v="Zapato O1+Fo+Sr Verde-Morado 41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1"/>
    <n v="8457780313585"/>
    <s v="18457780313582"/>
    <s v="https://forli.es/neo-sanitario/343-3101-VEGAS.html#/27-talla-35/42-color-negro_black"/>
    <s v="https://forli.es/index.php?controller=attachment&amp;id_attachment=166"/>
  </r>
  <r>
    <s v="FOR.VEGAS"/>
    <x v="36"/>
    <s v="FOR.VEGAS-99-42"/>
    <s v="ZAPATO O1+FO+SR Verde-morado 42"/>
    <s v="ZAPATO O1+FO+SR Verde-morado 42. FABRICADO EN TEXTIL TRANSPIRABLE CON REFUERZO EN PUNTERA Y TRASERA. PUNTERA DE No lleva. PLANTILLA No lleva. SUELA DE EVA/CAUCHO-NITRILO"/>
    <s v="Zapato O1+Fo+Sr Verde-Morado 42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2"/>
    <n v="8457780313592"/>
    <s v="18457780313599"/>
    <s v="https://forli.es/neo-sanitario/343-3101-VEGAS.html#/27-talla-35/42-color-negro_black"/>
    <s v="https://forli.es/index.php?controller=attachment&amp;id_attachment=166"/>
  </r>
  <r>
    <s v="FOR.VEGAS"/>
    <x v="36"/>
    <s v="FOR.VEGAS-99-43"/>
    <s v="ZAPATO O1+FO+SR Verde-morado 43"/>
    <s v="ZAPATO O1+FO+SR Verde-morado 43. FABRICADO EN TEXTIL TRANSPIRABLE CON REFUERZO EN PUNTERA Y TRASERA. PUNTERA DE No lleva. PLANTILLA No lleva. SUELA DE EVA/CAUCHO-NITRILO"/>
    <s v="Zapato O1+Fo+Sr Verde-Morado 43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3"/>
    <n v="8457780313608"/>
    <s v="18457780313605"/>
    <s v="https://forli.es/neo-sanitario/343-3101-VEGAS.html#/27-talla-35/42-color-negro_black"/>
    <s v="https://forli.es/index.php?controller=attachment&amp;id_attachment=166"/>
  </r>
  <r>
    <s v="FOR.VEGAS"/>
    <x v="36"/>
    <s v="FOR.VEGAS-99-44"/>
    <s v="ZAPATO O1+FO+SR Verde-morado 44"/>
    <s v="ZAPATO O1+FO+SR Verde-morado 44. FABRICADO EN TEXTIL TRANSPIRABLE CON REFUERZO EN PUNTERA Y TRASERA. PUNTERA DE No lleva. PLANTILLA No lleva. SUELA DE EVA/CAUCHO-NITRILO"/>
    <s v="Zapato O1+Fo+Sr Verde-Morado 44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4"/>
    <n v="8457780313615"/>
    <s v="18457780313612"/>
    <s v="https://forli.es/neo-sanitario/343-3101-VEGAS.html#/27-talla-35/42-color-negro_black"/>
    <s v="https://forli.es/index.php?controller=attachment&amp;id_attachment=166"/>
  </r>
  <r>
    <s v="FOR.VEGAS"/>
    <x v="36"/>
    <s v="FOR.VEGAS-99-45"/>
    <s v="ZAPATO O1+FO+SR Verde-morado 45"/>
    <s v="ZAPATO O1+FO+SR Verde-morado 45. FABRICADO EN TEXTIL TRANSPIRABLE CON REFUERZO EN PUNTERA Y TRASERA. PUNTERA DE No lleva. PLANTILLA No lleva. SUELA DE EVA/CAUCHO-NITRILO"/>
    <s v="Zapato O1+Fo+Sr Verde-Morado 45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5"/>
    <n v="8457780313622"/>
    <s v="18457780313629"/>
    <s v="https://forli.es/neo-sanitario/343-3101-VEGAS.html#/27-talla-35/42-color-negro_black"/>
    <s v="https://forli.es/index.php?controller=attachment&amp;id_attachment=166"/>
  </r>
  <r>
    <s v="FOR.VEGAS"/>
    <x v="36"/>
    <s v="FOR.VEGAS-99-46"/>
    <s v="ZAPATO O1+FO+SR Verde-morado 46"/>
    <s v="ZAPATO O1+FO+SR Verde-morado 46. FABRICADO EN TEXTIL TRANSPIRABLE CON REFUERZO EN PUNTERA Y TRASERA. PUNTERA DE No lleva. PLANTILLA No lleva. SUELA DE EVA/CAUCHO-NITRILO"/>
    <s v="Zapato O1+Fo+Sr Verde-Morado 46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6"/>
    <n v="8457780313639"/>
    <s v="18457780313636"/>
    <s v="https://forli.es/neo-sanitario/343-3101-VEGAS.html#/27-talla-35/42-color-negro_black"/>
    <s v="https://forli.es/index.php?controller=attachment&amp;id_attachment=166"/>
  </r>
  <r>
    <s v="FOR.VEGAS"/>
    <x v="36"/>
    <s v="FOR.VEGAS-99-47"/>
    <s v="ZAPATO O1+FO+SR Verde-morado 47"/>
    <s v="ZAPATO O1+FO+SR Verde-morado 47. FABRICADO EN TEXTIL TRANSPIRABLE CON REFUERZO EN PUNTERA Y TRASERA. PUNTERA DE No lleva. PLANTILLA No lleva. SUELA DE EVA/CAUCHO-NITRILO"/>
    <s v="Zapato O1+Fo+Sr Verde-Morado 47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7"/>
    <n v="8457780313646"/>
    <s v="18457780313643"/>
    <s v="https://forli.es/neo-sanitario/343-3101-VEGAS.html#/27-talla-35/42-color-negro_black"/>
    <s v="https://forli.es/index.php?controller=attachment&amp;id_attachment=166"/>
  </r>
  <r>
    <s v="FOR.VEGAS"/>
    <x v="36"/>
    <s v="FOR.VEGAS-99-48"/>
    <s v="ZAPATO O1+FO+SR Verde-morado 48"/>
    <s v="ZAPATO O1+FO+SR Verde-morado 48. FABRICADO EN TEXTIL TRANSPIRABLE CON REFUERZO EN PUNTERA Y TRASERA. PUNTERA DE No lleva. PLANTILLA No lleva. SUELA DE EVA/CAUCHO-NITRILO"/>
    <s v="Zapato O1+Fo+Sr Verde-Morado 48. Fabricado En Textil Transpirable Con Refuerzo En Puntera Y Trasera. Puntera De No Lleva. Plantilla No Lleva. Suela De Eva/Caucho-Nitrilo"/>
    <n v="22"/>
    <x v="3"/>
    <x v="0"/>
    <s v="NEGRO"/>
    <s v="TEXTIL TRANSPIRABLE CON REFUERZO EN PUNTERA Y TRASERA"/>
    <s v="No lleva"/>
    <s v="No lleva"/>
    <s v="EVA/CAUCHO-NITRILO"/>
    <n v="48"/>
    <n v="8457780313653"/>
    <s v="18457780313650"/>
    <s v="https://forli.es/neo-sanitario/343-3101-VEGAS.html#/27-talla-35/42-color-negro_black"/>
    <s v="https://forli.es/index.php?controller=attachment&amp;id_attachment=166"/>
  </r>
  <r>
    <s v="FOR.BOSTON"/>
    <x v="37"/>
    <s v="FOR.BOSTON-99-35"/>
    <s v="ZAPATO PIEL S3+SRC METALICO Negro 35"/>
    <s v="ZAPATO PIEL S3+SRC METALICO Negro 35. FABRICADO EN PIEL GRABADA. PUNTERA DE Acero. PLANTILLA Acero. SUELA DE PU/PU DOBLE DENSIDAD"/>
    <s v="Zapato Piel S3+Src Metalico Negro 35. Fabricado En Piel Grabada. Puntera De Acero. Plantilla Acero. Suela De Pu/Pu Doble Densidad"/>
    <n v="9.9"/>
    <x v="1"/>
    <x v="0"/>
    <s v="NEGRO"/>
    <s v="PIEL GRABADA"/>
    <s v="Acero"/>
    <s v="Acero"/>
    <s v="PU/PU DOBLE DENSIDAD"/>
    <n v="35"/>
    <n v="8457780303906"/>
    <s v="18457780303903"/>
    <s v="https://forli.es/basic-steel/267-2159-BOSTON.html#/27-talla-35/42-color-negro_black"/>
    <s v="https://forli.es/index.php?controller=attachment&amp;id_attachment=128"/>
  </r>
  <r>
    <s v="FOR.BOSTON"/>
    <x v="37"/>
    <s v="FOR.BOSTON-99-36"/>
    <s v="ZAPATO PIEL S3+SRC METALICO Negro 36"/>
    <s v="ZAPATO PIEL S3+SRC METALICO Negro 36. FABRICADO EN PIEL GRABADA. PUNTERA DE Acero. PLANTILLA Acero. SUELA DE PU/PU DOBLE DENSIDAD"/>
    <s v="Zapato Piel S3+Src Metalico Negro 36. Fabricado En Piel Grabada. Puntera De Acero. Plantilla Acero. Suela De Pu/Pu Doble Densidad"/>
    <n v="9.9"/>
    <x v="1"/>
    <x v="0"/>
    <s v="NEGRO"/>
    <s v="PIEL GRABADA"/>
    <s v="Acero"/>
    <s v="Acero"/>
    <s v="PU/PU DOBLE DENSIDAD"/>
    <n v="36"/>
    <n v="8457780267765"/>
    <s v="18457780267762"/>
    <s v="https://forli.es/basic-steel/267-2159-BOSTON.html#/27-talla-35/42-color-negro_black"/>
    <s v="https://forli.es/index.php?controller=attachment&amp;id_attachment=128"/>
  </r>
  <r>
    <s v="FOR.BOSTON"/>
    <x v="37"/>
    <s v="FOR.BOSTON-99-37"/>
    <s v="ZAPATO PIEL S3+SRC METALICO Negro 37"/>
    <s v="ZAPATO PIEL S3+SRC METALICO Negro 37. FABRICADO EN PIEL GRABADA. PUNTERA DE Acero. PLANTILLA Acero. SUELA DE PU/PU DOBLE DENSIDAD"/>
    <s v="Zapato Piel S3+Src Metalico Negro 37. Fabricado En Piel Grabada. Puntera De Acero. Plantilla Acero. Suela De Pu/Pu Doble Densidad"/>
    <n v="9.9"/>
    <x v="1"/>
    <x v="0"/>
    <s v="NEGRO"/>
    <s v="PIEL GRABADA"/>
    <s v="Acero"/>
    <s v="Acero"/>
    <s v="PU/PU DOBLE DENSIDAD"/>
    <n v="37"/>
    <n v="8457780267772"/>
    <s v="18457780267779"/>
    <s v="https://forli.es/basic-steel/267-2159-BOSTON.html#/27-talla-35/42-color-negro_black"/>
    <s v="https://forli.es/index.php?controller=attachment&amp;id_attachment=128"/>
  </r>
  <r>
    <s v="FOR.BOSTON"/>
    <x v="37"/>
    <s v="FOR.BOSTON-99-38"/>
    <s v="ZAPATO PIEL S3+SRC METALICO Negro 38"/>
    <s v="ZAPATO PIEL S3+SRC METALICO Negro 38. FABRICADO EN PIEL GRABADA. PUNTERA DE Acero. PLANTILLA Acero. SUELA DE PU/PU DOBLE DENSIDAD"/>
    <s v="Zapato Piel S3+Src Metalico Negro 38. Fabricado En Piel Grabada. Puntera De Acero. Plantilla Acero. Suela De Pu/Pu Doble Densidad"/>
    <n v="9.9"/>
    <x v="1"/>
    <x v="0"/>
    <s v="NEGRO"/>
    <s v="PIEL GRABADA"/>
    <s v="Acero"/>
    <s v="Acero"/>
    <s v="PU/PU DOBLE DENSIDAD"/>
    <n v="38"/>
    <n v="8457780267789"/>
    <s v="18457780267786"/>
    <s v="https://forli.es/basic-steel/267-2159-BOSTON.html#/27-talla-35/42-color-negro_black"/>
    <s v="https://forli.es/index.php?controller=attachment&amp;id_attachment=128"/>
  </r>
  <r>
    <s v="FOR.BOSTON"/>
    <x v="37"/>
    <s v="FOR.BOSTON-99-39"/>
    <s v="ZAPATO PIEL S3+SRC METALICO Negro 39"/>
    <s v="ZAPATO PIEL S3+SRC METALICO Negro 39. FABRICADO EN PIEL GRABADA. PUNTERA DE Acero. PLANTILLA Acero. SUELA DE PU/PU DOBLE DENSIDAD"/>
    <s v="Zapato Piel S3+Src Metalico Negro 39. Fabricado En Piel Grabada. Puntera De Acero. Plantilla Acero. Suela De Pu/Pu Doble Densidad"/>
    <n v="9.9"/>
    <x v="1"/>
    <x v="0"/>
    <s v="NEGRO"/>
    <s v="PIEL GRABADA"/>
    <s v="Acero"/>
    <s v="Acero"/>
    <s v="PU/PU DOBLE DENSIDAD"/>
    <n v="39"/>
    <n v="8457780267796"/>
    <s v="18457780267793"/>
    <s v="https://forli.es/basic-steel/267-2159-BOSTON.html#/27-talla-35/42-color-negro_black"/>
    <s v="https://forli.es/index.php?controller=attachment&amp;id_attachment=128"/>
  </r>
  <r>
    <s v="FOR.BOSTON"/>
    <x v="37"/>
    <s v="FOR.BOSTON-99-40"/>
    <s v="ZAPATO PIEL S3+SRC METALICO Negro 40"/>
    <s v="ZAPATO PIEL S3+SRC METALICO Negro 40. FABRICADO EN PIEL GRABADA. PUNTERA DE Acero. PLANTILLA Acero. SUELA DE PU/PU DOBLE DENSIDAD"/>
    <s v="Zapato Piel S3+Src Metalico Negro 40. Fabricado En Piel Grabada. Puntera De Acero. Plantilla Acero. Suela De Pu/Pu Doble Densidad"/>
    <n v="9.9"/>
    <x v="1"/>
    <x v="0"/>
    <s v="NEGRO"/>
    <s v="PIEL GRABADA"/>
    <s v="Acero"/>
    <s v="Acero"/>
    <s v="PU/PU DOBLE DENSIDAD"/>
    <n v="40"/>
    <n v="8457780267802"/>
    <s v="18457780267809"/>
    <s v="https://forli.es/basic-steel/267-2159-BOSTON.html#/27-talla-35/42-color-negro_black"/>
    <s v="https://forli.es/index.php?controller=attachment&amp;id_attachment=128"/>
  </r>
  <r>
    <s v="FOR.BOSTON"/>
    <x v="37"/>
    <s v="FOR.BOSTON-99-41"/>
    <s v="ZAPATO PIEL S3+SRC METALICO Negro 41"/>
    <s v="ZAPATO PIEL S3+SRC METALICO Negro 41. FABRICADO EN PIEL GRABADA. PUNTERA DE Acero. PLANTILLA Acero. SUELA DE PU/PU DOBLE DENSIDAD"/>
    <s v="Zapato Piel S3+Src Metalico Negro 41. Fabricado En Piel Grabada. Puntera De Acero. Plantilla Acero. Suela De Pu/Pu Doble Densidad"/>
    <n v="9.9"/>
    <x v="1"/>
    <x v="0"/>
    <s v="NEGRO"/>
    <s v="PIEL GRABADA"/>
    <s v="Acero"/>
    <s v="Acero"/>
    <s v="PU/PU DOBLE DENSIDAD"/>
    <n v="41"/>
    <n v="8457780267819"/>
    <s v="18457780267816"/>
    <s v="https://forli.es/basic-steel/267-2159-BOSTON.html#/27-talla-35/42-color-negro_black"/>
    <s v="https://forli.es/index.php?controller=attachment&amp;id_attachment=128"/>
  </r>
  <r>
    <s v="FOR.BOSTON"/>
    <x v="37"/>
    <s v="FOR.BOSTON-99-42"/>
    <s v="ZAPATO PIEL S3+SRC METALICO Negro 42"/>
    <s v="ZAPATO PIEL S3+SRC METALICO Negro 42. FABRICADO EN PIEL GRABADA. PUNTERA DE Acero. PLANTILLA Acero. SUELA DE PU/PU DOBLE DENSIDAD"/>
    <s v="Zapato Piel S3+Src Metalico Negro 42. Fabricado En Piel Grabada. Puntera De Acero. Plantilla Acero. Suela De Pu/Pu Doble Densidad"/>
    <n v="9.9"/>
    <x v="1"/>
    <x v="0"/>
    <s v="NEGRO"/>
    <s v="PIEL GRABADA"/>
    <s v="Acero"/>
    <s v="Acero"/>
    <s v="PU/PU DOBLE DENSIDAD"/>
    <n v="42"/>
    <n v="8457780267826"/>
    <s v="18457780267823"/>
    <s v="https://forli.es/basic-steel/267-2159-BOSTON.html#/27-talla-35/42-color-negro_black"/>
    <s v="https://forli.es/index.php?controller=attachment&amp;id_attachment=128"/>
  </r>
  <r>
    <s v="FOR.BOSTON"/>
    <x v="37"/>
    <s v="FOR.BOSTON-99-43"/>
    <s v="ZAPATO PIEL S3+SRC METALICO Negro 43"/>
    <s v="ZAPATO PIEL S3+SRC METALICO Negro 43. FABRICADO EN PIEL GRABADA. PUNTERA DE Acero. PLANTILLA Acero. SUELA DE PU/PU DOBLE DENSIDAD"/>
    <s v="Zapato Piel S3+Src Metalico Negro 43. Fabricado En Piel Grabada. Puntera De Acero. Plantilla Acero. Suela De Pu/Pu Doble Densidad"/>
    <n v="9.9"/>
    <x v="1"/>
    <x v="0"/>
    <s v="NEGRO"/>
    <s v="PIEL GRABADA"/>
    <s v="Acero"/>
    <s v="Acero"/>
    <s v="PU/PU DOBLE DENSIDAD"/>
    <n v="43"/>
    <n v="8457780267833"/>
    <s v="18457780267830"/>
    <s v="https://forli.es/basic-steel/267-2159-BOSTON.html#/27-talla-35/42-color-negro_black"/>
    <s v="https://forli.es/index.php?controller=attachment&amp;id_attachment=128"/>
  </r>
  <r>
    <s v="FOR.BOSTON"/>
    <x v="37"/>
    <s v="FOR.BOSTON-99-44"/>
    <s v="ZAPATO PIEL S3+SRC METALICO Negro 44"/>
    <s v="ZAPATO PIEL S3+SRC METALICO Negro 44. FABRICADO EN PIEL GRABADA. PUNTERA DE Acero. PLANTILLA Acero. SUELA DE PU/PU DOBLE DENSIDAD"/>
    <s v="Zapato Piel S3+Src Metalico Negro 44. Fabricado En Piel Grabada. Puntera De Acero. Plantilla Acero. Suela De Pu/Pu Doble Densidad"/>
    <n v="9.9"/>
    <x v="1"/>
    <x v="0"/>
    <s v="NEGRO"/>
    <s v="PIEL GRABADA"/>
    <s v="Acero"/>
    <s v="Acero"/>
    <s v="PU/PU DOBLE DENSIDAD"/>
    <n v="44"/>
    <n v="8457780267840"/>
    <s v="18457780267847"/>
    <s v="https://forli.es/basic-steel/267-2159-BOSTON.html#/27-talla-35/42-color-negro_black"/>
    <s v="https://forli.es/index.php?controller=attachment&amp;id_attachment=128"/>
  </r>
  <r>
    <s v="FOR.BOSTON"/>
    <x v="37"/>
    <s v="FOR.BOSTON-99-45"/>
    <s v="ZAPATO PIEL S3+SRC METALICO Negro 45"/>
    <s v="ZAPATO PIEL S3+SRC METALICO Negro 45. FABRICADO EN PIEL GRABADA. PUNTERA DE Acero. PLANTILLA Acero. SUELA DE PU/PU DOBLE DENSIDAD"/>
    <s v="Zapato Piel S3+Src Metalico Negro 45. Fabricado En Piel Grabada. Puntera De Acero. Plantilla Acero. Suela De Pu/Pu Doble Densidad"/>
    <n v="9.9"/>
    <x v="1"/>
    <x v="0"/>
    <s v="NEGRO"/>
    <s v="PIEL GRABADA"/>
    <s v="Acero"/>
    <s v="Acero"/>
    <s v="PU/PU DOBLE DENSIDAD"/>
    <n v="45"/>
    <n v="8457780267857"/>
    <s v="18457780267854"/>
    <s v="https://forli.es/basic-steel/267-2159-BOSTON.html#/27-talla-35/42-color-negro_black"/>
    <s v="https://forli.es/index.php?controller=attachment&amp;id_attachment=128"/>
  </r>
  <r>
    <s v="FOR.BOSTON"/>
    <x v="37"/>
    <s v="FOR.BOSTON-99-46"/>
    <s v="ZAPATO PIEL S3+SRC METALICO Negro 46"/>
    <s v="ZAPATO PIEL S3+SRC METALICO Negro 46. FABRICADO EN PIEL GRABADA. PUNTERA DE Acero. PLANTILLA Acero. SUELA DE PU/PU DOBLE DENSIDAD"/>
    <s v="Zapato Piel S3+Src Metalico Negro 46. Fabricado En Piel Grabada. Puntera De Acero. Plantilla Acero. Suela De Pu/Pu Doble Densidad"/>
    <n v="9.9"/>
    <x v="1"/>
    <x v="0"/>
    <s v="NEGRO"/>
    <s v="PIEL GRABADA"/>
    <s v="Acero"/>
    <s v="Acero"/>
    <s v="PU/PU DOBLE DENSIDAD"/>
    <n v="46"/>
    <n v="8457780267864"/>
    <s v="18457780267861"/>
    <s v="https://forli.es/basic-steel/267-2159-BOSTON.html#/27-talla-35/42-color-negro_black"/>
    <s v="https://forli.es/index.php?controller=attachment&amp;id_attachment=128"/>
  </r>
  <r>
    <s v="FOR.BOSTON"/>
    <x v="37"/>
    <s v="FOR.BOSTON-99-47"/>
    <s v="ZAPATO PIEL S3+SRC METALICO Negro 47"/>
    <s v="ZAPATO PIEL S3+SRC METALICO Negro 47. FABRICADO EN PIEL GRABADA. PUNTERA DE Acero. PLANTILLA Acero. SUELA DE PU/PU DOBLE DENSIDAD"/>
    <s v="Zapato Piel S3+Src Metalico Negro 47. Fabricado En Piel Grabada. Puntera De Acero. Plantilla Acero. Suela De Pu/Pu Doble Densidad"/>
    <n v="9.9"/>
    <x v="1"/>
    <x v="0"/>
    <s v="NEGRO"/>
    <s v="PIEL GRABADA"/>
    <s v="Acero"/>
    <s v="Acero"/>
    <s v="PU/PU DOBLE DENSIDAD"/>
    <n v="47"/>
    <n v="8457780267871"/>
    <s v="18457780267878"/>
    <s v="https://forli.es/basic-steel/267-2159-BOSTON.html#/27-talla-35/42-color-negro_black"/>
    <s v="https://forli.es/index.php?controller=attachment&amp;id_attachment=128"/>
  </r>
  <r>
    <s v="FOR.BOSTON"/>
    <x v="37"/>
    <s v="FOR.BOSTON-99-48"/>
    <s v="ZAPATO PIEL S3+SRC METALICO Negro 48"/>
    <s v="ZAPATO PIEL S3+SRC METALICO Negro 48. FABRICADO EN PIEL GRABADA. PUNTERA DE Acero. PLANTILLA Acero. SUELA DE PU/PU DOBLE DENSIDAD"/>
    <s v="Zapato Piel S3+Src Metalico Negro 48. Fabricado En Piel Grabada. Puntera De Acero. Plantilla Acero. Suela De Pu/Pu Doble Densidad"/>
    <n v="9.9"/>
    <x v="1"/>
    <x v="0"/>
    <s v="NEGRO"/>
    <s v="PIEL GRABADA"/>
    <s v="Acero"/>
    <s v="Acero"/>
    <s v="PU/PU DOBLE DENSIDAD"/>
    <n v="48"/>
    <n v="8457780303913"/>
    <s v="18457780303910"/>
    <s v="https://forli.es/basic-steel/267-2159-BOSTON.html#/27-talla-35/42-color-negro_black"/>
    <s v="https://forli.es/index.php?controller=attachment&amp;id_attachment=128"/>
  </r>
  <r>
    <s v="FOR.PORTLAND"/>
    <x v="38"/>
    <s v="FOR.PORTLAND-99-35"/>
    <s v="ZAPATO PIEL S3S+CI+HI+FO+SR METAL FREE Negro 35"/>
    <s v="ZAPATO PIEL S3S+CI+HI+FO+SR METAL FREE Negro 35. FABRICADO EN PIEL GRABADA. PUNTERA DE Fibra de vidrio. PLANTILLA Antiperforación textil. SUELA DE PU/PU DOBLE DENSIDAD"/>
    <s v="Zapato Piel S3S+Ci+Hi+Fo+Sr Metal Free Negro 35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35"/>
    <n v="8457780303968"/>
    <s v="18457780303965"/>
    <s v="https://forli.es/basic-metal-free/280-2329-PORTLAND.html#/27-talla-35/42-color-negro_black"/>
    <s v="https://forli.es/index.php?controller=attachment&amp;id_attachment=125"/>
  </r>
  <r>
    <s v="FOR.PORTLAND"/>
    <x v="38"/>
    <s v="FOR.PORTLAND-99-36"/>
    <s v="ZAPATO PIEL S3S+CI+HI+FO+SR METAL FREE Negro 36"/>
    <s v="ZAPATO PIEL S3S+CI+HI+FO+SR METAL FREE Negro 36. FABRICADO EN PIEL GRABADA. PUNTERA DE Fibra de vidrio. PLANTILLA Antiperforación textil. SUELA DE PU/PU DOBLE DENSIDAD"/>
    <s v="Zapato Piel S3S+Ci+Hi+Fo+Sr Metal Free Negro 36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36"/>
    <n v="8457780268243"/>
    <s v="18457780268240"/>
    <s v="https://forli.es/basic-metal-free/280-2329-PORTLAND.html#/27-talla-35/42-color-negro_black"/>
    <s v="https://forli.es/index.php?controller=attachment&amp;id_attachment=125"/>
  </r>
  <r>
    <s v="FOR.PORTLAND"/>
    <x v="38"/>
    <s v="FOR.PORTLAND-99-37"/>
    <s v="ZAPATO PIEL S3S+CI+HI+FO+SR METAL FREE Negro 37"/>
    <s v="ZAPATO PIEL S3S+CI+HI+FO+SR METAL FREE Negro 37. FABRICADO EN PIEL GRABADA. PUNTERA DE Fibra de vidrio. PLANTILLA Antiperforación textil. SUELA DE PU/PU DOBLE DENSIDAD"/>
    <s v="Zapato Piel S3S+Ci+Hi+Fo+Sr Metal Free Negro 37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37"/>
    <n v="8457780268250"/>
    <s v="18457780268257"/>
    <s v="https://forli.es/basic-metal-free/280-2329-PORTLAND.html#/27-talla-35/42-color-negro_black"/>
    <s v="https://forli.es/index.php?controller=attachment&amp;id_attachment=125"/>
  </r>
  <r>
    <s v="FOR.PORTLAND"/>
    <x v="38"/>
    <s v="FOR.PORTLAND-99-38"/>
    <s v="ZAPATO PIEL S3S+CI+HI+FO+SR METAL FREE Negro 38"/>
    <s v="ZAPATO PIEL S3S+CI+HI+FO+SR METAL FREE Negro 38. FABRICADO EN PIEL GRABADA. PUNTERA DE Fibra de vidrio. PLANTILLA Antiperforación textil. SUELA DE PU/PU DOBLE DENSIDAD"/>
    <s v="Zapato Piel S3S+Ci+Hi+Fo+Sr Metal Free Negro 38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38"/>
    <n v="8457780268267"/>
    <s v="18457780268264"/>
    <s v="https://forli.es/basic-metal-free/280-2329-PORTLAND.html#/27-talla-35/42-color-negro_black"/>
    <s v="https://forli.es/index.php?controller=attachment&amp;id_attachment=125"/>
  </r>
  <r>
    <s v="FOR.PORTLAND"/>
    <x v="38"/>
    <s v="FOR.PORTLAND-99-39"/>
    <s v="ZAPATO PIEL S3S+CI+HI+FO+SR METAL FREE Negro 39"/>
    <s v="ZAPATO PIEL S3S+CI+HI+FO+SR METAL FREE Negro 39. FABRICADO EN PIEL GRABADA. PUNTERA DE Fibra de vidrio. PLANTILLA Antiperforación textil. SUELA DE PU/PU DOBLE DENSIDAD"/>
    <s v="Zapato Piel S3S+Ci+Hi+Fo+Sr Metal Free Negro 39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39"/>
    <n v="8457780268274"/>
    <s v="18457780268271"/>
    <s v="https://forli.es/basic-metal-free/280-2329-PORTLAND.html#/27-talla-35/42-color-negro_black"/>
    <s v="https://forli.es/index.php?controller=attachment&amp;id_attachment=125"/>
  </r>
  <r>
    <s v="FOR.PORTLAND"/>
    <x v="38"/>
    <s v="FOR.PORTLAND-99-40"/>
    <s v="ZAPATO PIEL S3S+CI+HI+FO+SR METAL FREE Negro 40"/>
    <s v="ZAPATO PIEL S3S+CI+HI+FO+SR METAL FREE Negro 40. FABRICADO EN PIEL GRABADA. PUNTERA DE Fibra de vidrio. PLANTILLA Antiperforación textil. SUELA DE PU/PU DOBLE DENSIDAD"/>
    <s v="Zapato Piel S3S+Ci+Hi+Fo+Sr Metal Free Negro 40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0"/>
    <n v="8457780268281"/>
    <s v="18457780268288"/>
    <s v="https://forli.es/basic-metal-free/280-2329-PORTLAND.html#/27-talla-35/42-color-negro_black"/>
    <s v="https://forli.es/index.php?controller=attachment&amp;id_attachment=125"/>
  </r>
  <r>
    <s v="FOR.PORTLAND"/>
    <x v="38"/>
    <s v="FOR.PORTLAND-99-41"/>
    <s v="ZAPATO PIEL S3S+CI+HI+FO+SR METAL FREE Negro 41"/>
    <s v="ZAPATO PIEL S3S+CI+HI+FO+SR METAL FREE Negro 41. FABRICADO EN PIEL GRABADA. PUNTERA DE Fibra de vidrio. PLANTILLA Antiperforación textil. SUELA DE PU/PU DOBLE DENSIDAD"/>
    <s v="Zapato Piel S3S+Ci+Hi+Fo+Sr Metal Free Negro 41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1"/>
    <n v="8457780268298"/>
    <s v="18457780268295"/>
    <s v="https://forli.es/basic-metal-free/280-2329-PORTLAND.html#/27-talla-35/42-color-negro_black"/>
    <s v="https://forli.es/index.php?controller=attachment&amp;id_attachment=125"/>
  </r>
  <r>
    <s v="FOR.PORTLAND"/>
    <x v="38"/>
    <s v="FOR.PORTLAND-99-42"/>
    <s v="ZAPATO PIEL S3S+CI+HI+FO+SR METAL FREE Negro 42"/>
    <s v="ZAPATO PIEL S3S+CI+HI+FO+SR METAL FREE Negro 42. FABRICADO EN PIEL GRABADA. PUNTERA DE Fibra de vidrio. PLANTILLA Antiperforación textil. SUELA DE PU/PU DOBLE DENSIDAD"/>
    <s v="Zapato Piel S3S+Ci+Hi+Fo+Sr Metal Free Negro 42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2"/>
    <n v="8457780268304"/>
    <s v="18457780268301"/>
    <s v="https://forli.es/basic-metal-free/280-2329-PORTLAND.html#/27-talla-35/42-color-negro_black"/>
    <s v="https://forli.es/index.php?controller=attachment&amp;id_attachment=125"/>
  </r>
  <r>
    <s v="FOR.PORTLAND"/>
    <x v="38"/>
    <s v="FOR.PORTLAND-99-43"/>
    <s v="ZAPATO PIEL S3S+CI+HI+FO+SR METAL FREE Negro 43"/>
    <s v="ZAPATO PIEL S3S+CI+HI+FO+SR METAL FREE Negro 43. FABRICADO EN PIEL GRABADA. PUNTERA DE Fibra de vidrio. PLANTILLA Antiperforación textil. SUELA DE PU/PU DOBLE DENSIDAD"/>
    <s v="Zapato Piel S3S+Ci+Hi+Fo+Sr Metal Free Negro 43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3"/>
    <n v="8457780268311"/>
    <s v="18457780268318"/>
    <s v="https://forli.es/basic-metal-free/280-2329-PORTLAND.html#/27-talla-35/42-color-negro_black"/>
    <s v="https://forli.es/index.php?controller=attachment&amp;id_attachment=125"/>
  </r>
  <r>
    <s v="FOR.PORTLAND"/>
    <x v="38"/>
    <s v="FOR.PORTLAND-99-44"/>
    <s v="ZAPATO PIEL S3S+CI+HI+FO+SR METAL FREE Negro 44"/>
    <s v="ZAPATO PIEL S3S+CI+HI+FO+SR METAL FREE Negro 44. FABRICADO EN PIEL GRABADA. PUNTERA DE Fibra de vidrio. PLANTILLA Antiperforación textil. SUELA DE PU/PU DOBLE DENSIDAD"/>
    <s v="Zapato Piel S3S+Ci+Hi+Fo+Sr Metal Free Negro 44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4"/>
    <n v="8457780268328"/>
    <s v="18457780268325"/>
    <s v="https://forli.es/basic-metal-free/280-2329-PORTLAND.html#/27-talla-35/42-color-negro_black"/>
    <s v="https://forli.es/index.php?controller=attachment&amp;id_attachment=125"/>
  </r>
  <r>
    <s v="FOR.PORTLAND"/>
    <x v="38"/>
    <s v="FOR.PORTLAND-99-45"/>
    <s v="ZAPATO PIEL S3S+CI+HI+FO+SR METAL FREE Negro 45"/>
    <s v="ZAPATO PIEL S3S+CI+HI+FO+SR METAL FREE Negro 45. FABRICADO EN PIEL GRABADA. PUNTERA DE Fibra de vidrio. PLANTILLA Antiperforación textil. SUELA DE PU/PU DOBLE DENSIDAD"/>
    <s v="Zapato Piel S3S+Ci+Hi+Fo+Sr Metal Free Negro 45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5"/>
    <n v="8457780268335"/>
    <s v="18457780268332"/>
    <s v="https://forli.es/basic-metal-free/280-2329-PORTLAND.html#/27-talla-35/42-color-negro_black"/>
    <s v="https://forli.es/index.php?controller=attachment&amp;id_attachment=125"/>
  </r>
  <r>
    <s v="FOR.PORTLAND"/>
    <x v="38"/>
    <s v="FOR.PORTLAND-99-46"/>
    <s v="ZAPATO PIEL S3S+CI+HI+FO+SR METAL FREE Negro 46"/>
    <s v="ZAPATO PIEL S3S+CI+HI+FO+SR METAL FREE Negro 46. FABRICADO EN PIEL GRABADA. PUNTERA DE Fibra de vidrio. PLANTILLA Antiperforación textil. SUELA DE PU/PU DOBLE DENSIDAD"/>
    <s v="Zapato Piel S3S+Ci+Hi+Fo+Sr Metal Free Negro 46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6"/>
    <n v="8457780268342"/>
    <s v="18457780268349"/>
    <s v="https://forli.es/basic-metal-free/280-2329-PORTLAND.html#/27-talla-35/42-color-negro_black"/>
    <s v="https://forli.es/index.php?controller=attachment&amp;id_attachment=125"/>
  </r>
  <r>
    <s v="FOR.PORTLAND"/>
    <x v="38"/>
    <s v="FOR.PORTLAND-99-47"/>
    <s v="ZAPATO PIEL S3S+CI+HI+FO+SR METAL FREE Negro 47"/>
    <s v="ZAPATO PIEL S3S+CI+HI+FO+SR METAL FREE Negro 47. FABRICADO EN PIEL GRABADA. PUNTERA DE Fibra de vidrio. PLANTILLA Antiperforación textil. SUELA DE PU/PU DOBLE DENSIDAD"/>
    <s v="Zapato Piel S3S+Ci+Hi+Fo+Sr Metal Free Negro 47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7"/>
    <n v="8457780268359"/>
    <s v="18457780268356"/>
    <s v="https://forli.es/basic-metal-free/280-2329-PORTLAND.html#/27-talla-35/42-color-negro_black"/>
    <s v="https://forli.es/index.php?controller=attachment&amp;id_attachment=125"/>
  </r>
  <r>
    <s v="FOR.PORTLAND"/>
    <x v="38"/>
    <s v="FOR.PORTLAND-99-48"/>
    <s v="ZAPATO PIEL S3S+CI+HI+FO+SR METAL FREE Negro 48"/>
    <s v="ZAPATO PIEL S3S+CI+HI+FO+SR METAL FREE Negro 48. FABRICADO EN PIEL GRABADA. PUNTERA DE Fibra de vidrio. PLANTILLA Antiperforación textil. SUELA DE PU/PU DOBLE DENSIDAD"/>
    <s v="Zapato Piel S3S+Ci+Hi+Fo+Sr Metal Free Negro 48. Fabricado En Piel Grabada. Puntera De Fibra De Vidrio. Plantilla Antiperforación Textil. Suela De Pu/Pu Doble Densidad"/>
    <n v="14.2"/>
    <x v="1"/>
    <x v="0"/>
    <s v="NEGRO"/>
    <s v="PIEL GRABADA"/>
    <s v="Fibra de vidrio"/>
    <s v="Antiperforación textil"/>
    <s v="PU/PU DOBLE DENSIDAD"/>
    <n v="48"/>
    <n v="8457780303975"/>
    <s v="18457780303972"/>
    <s v="https://forli.es/basic-metal-free/280-2329-PORTLAND.html#/27-talla-35/42-color-negro_black"/>
    <s v="https://forli.es/index.php?controller=attachment&amp;id_attachment=125"/>
  </r>
  <r>
    <s v="FOR.HOUSTONAM"/>
    <x v="39"/>
    <s v="FOR.HOUSTONAM-15-35"/>
    <s v="ZAPATO S1+PL+CI+HI+FO+SR+ESD Amarillo 35"/>
    <s v="ZAPATO S1+PL+CI+HI+FO+SR+ESD Amarillo 35. FABRICADO EN TEXTIL. PUNTERA DE Fibra de vidrio. PLANTILLA Antiperforación textil. SUELA DE EVA/CAUCHO-NITRILO"/>
    <s v="Zapato S1+Pl+Ci+Hi+Fo+Sr+Esd Amarillo 35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35"/>
    <n v="8457780314087"/>
    <s v="18457780314084"/>
    <s v="https://forli.es/evolution/340-10328-HOUSTONAM.html#/27-talla-35/42-color-negro_black"/>
    <s v="https://forli.es/index.php?controller=attachment&amp;id_attachment=162"/>
  </r>
  <r>
    <s v="FOR.HOUSTONAM"/>
    <x v="39"/>
    <s v="FOR.HOUSTONAM-15-36"/>
    <s v="ZAPATO S1+PL+CI+HI+FO+SR+ESD Amarillo 36"/>
    <s v="ZAPATO S1+PL+CI+HI+FO+SR+ESD Amarillo 36. FABRICADO EN TEXTIL. PUNTERA DE Fibra de vidrio. PLANTILLA Antiperforación textil. SUELA DE EVA/CAUCHO-NITRILO"/>
    <s v="Zapato S1+Pl+Ci+Hi+Fo+Sr+Esd Amarillo 36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36"/>
    <n v="8457780314094"/>
    <s v="18457780314091"/>
    <s v="https://forli.es/evolution/340-10328-HOUSTONAM.html#/27-talla-35/42-color-negro_black"/>
    <s v="https://forli.es/index.php?controller=attachment&amp;id_attachment=162"/>
  </r>
  <r>
    <s v="FOR.HOUSTONAM"/>
    <x v="39"/>
    <s v="FOR.HOUSTONAM-15-37"/>
    <s v="ZAPATO S1+PL+CI+HI+FO+SR+ESD Amarillo 37"/>
    <s v="ZAPATO S1+PL+CI+HI+FO+SR+ESD Amarillo 37. FABRICADO EN TEXTIL. PUNTERA DE Fibra de vidrio. PLANTILLA Antiperforación textil. SUELA DE EVA/CAUCHO-NITRILO"/>
    <s v="Zapato S1+Pl+Ci+Hi+Fo+Sr+Esd Amarillo 37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37"/>
    <n v="8457780314100"/>
    <s v="18457780314107"/>
    <s v="https://forli.es/evolution/340-10328-HOUSTONAM.html#/27-talla-35/42-color-negro_black"/>
    <s v="https://forli.es/index.php?controller=attachment&amp;id_attachment=162"/>
  </r>
  <r>
    <s v="FOR.HOUSTONAM"/>
    <x v="39"/>
    <s v="FOR.HOUSTONAM-15-38"/>
    <s v="ZAPATO S1+PL+CI+HI+FO+SR+ESD Amarillo 38"/>
    <s v="ZAPATO S1+PL+CI+HI+FO+SR+ESD Amarillo 38. FABRICADO EN TEXTIL. PUNTERA DE Fibra de vidrio. PLANTILLA Antiperforación textil. SUELA DE EVA/CAUCHO-NITRILO"/>
    <s v="Zapato S1+Pl+Ci+Hi+Fo+Sr+Esd Amarillo 38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38"/>
    <n v="8457780314117"/>
    <s v="18457780314114"/>
    <s v="https://forli.es/evolution/340-10328-HOUSTONAM.html#/27-talla-35/42-color-negro_black"/>
    <s v="https://forli.es/index.php?controller=attachment&amp;id_attachment=162"/>
  </r>
  <r>
    <s v="FOR.HOUSTONAM"/>
    <x v="39"/>
    <s v="FOR.HOUSTONAM-15-39"/>
    <s v="ZAPATO S1+PL+CI+HI+FO+SR+ESD Amarillo 39"/>
    <s v="ZAPATO S1+PL+CI+HI+FO+SR+ESD Amarillo 39. FABRICADO EN TEXTIL. PUNTERA DE Fibra de vidrio. PLANTILLA Antiperforación textil. SUELA DE EVA/CAUCHO-NITRILO"/>
    <s v="Zapato S1+Pl+Ci+Hi+Fo+Sr+Esd Amarillo 39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39"/>
    <n v="8457780314124"/>
    <s v="18457780314121"/>
    <s v="https://forli.es/evolution/340-10328-HOUSTONAM.html#/27-talla-35/42-color-negro_black"/>
    <s v="https://forli.es/index.php?controller=attachment&amp;id_attachment=162"/>
  </r>
  <r>
    <s v="FOR.HOUSTONAM"/>
    <x v="39"/>
    <s v="FOR.HOUSTONAM-15-40"/>
    <s v="ZAPATO S1+PL+CI+HI+FO+SR+ESD Amarillo 40"/>
    <s v="ZAPATO S1+PL+CI+HI+FO+SR+ESD Amarillo 40. FABRICADO EN TEXTIL. PUNTERA DE Fibra de vidrio. PLANTILLA Antiperforación textil. SUELA DE EVA/CAUCHO-NITRILO"/>
    <s v="Zapato S1+Pl+Ci+Hi+Fo+Sr+Esd Amarillo 40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0"/>
    <n v="8457780314131"/>
    <s v="18457780314138"/>
    <s v="https://forli.es/evolution/340-10328-HOUSTONAM.html#/27-talla-35/42-color-negro_black"/>
    <s v="https://forli.es/index.php?controller=attachment&amp;id_attachment=162"/>
  </r>
  <r>
    <s v="FOR.HOUSTONAM"/>
    <x v="39"/>
    <s v="FOR.HOUSTONAM-15-41"/>
    <s v="ZAPATO S1+PL+CI+HI+FO+SR+ESD Amarillo 41"/>
    <s v="ZAPATO S1+PL+CI+HI+FO+SR+ESD Amarillo 41. FABRICADO EN TEXTIL. PUNTERA DE Fibra de vidrio. PLANTILLA Antiperforación textil. SUELA DE EVA/CAUCHO-NITRILO"/>
    <s v="Zapato S1+Pl+Ci+Hi+Fo+Sr+Esd Amarillo 41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1"/>
    <n v="8457780314148"/>
    <s v="18457780314145"/>
    <s v="https://forli.es/evolution/340-10328-HOUSTONAM.html#/27-talla-35/42-color-negro_black"/>
    <s v="https://forli.es/index.php?controller=attachment&amp;id_attachment=162"/>
  </r>
  <r>
    <s v="FOR.HOUSTONAM"/>
    <x v="39"/>
    <s v="FOR.HOUSTONAM-15-42"/>
    <s v="ZAPATO S1+PL+CI+HI+FO+SR+ESD Amarillo 42"/>
    <s v="ZAPATO S1+PL+CI+HI+FO+SR+ESD Amarillo 42. FABRICADO EN TEXTIL. PUNTERA DE Fibra de vidrio. PLANTILLA Antiperforación textil. SUELA DE EVA/CAUCHO-NITRILO"/>
    <s v="Zapato S1+Pl+Ci+Hi+Fo+Sr+Esd Amarillo 42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2"/>
    <n v="8457780314155"/>
    <s v="18457780314152"/>
    <s v="https://forli.es/evolution/340-10328-HOUSTONAM.html#/27-talla-35/42-color-negro_black"/>
    <s v="https://forli.es/index.php?controller=attachment&amp;id_attachment=162"/>
  </r>
  <r>
    <s v="FOR.HOUSTONAM"/>
    <x v="39"/>
    <s v="FOR.HOUSTONAM-15-43"/>
    <s v="ZAPATO S1+PL+CI+HI+FO+SR+ESD Amarillo 43"/>
    <s v="ZAPATO S1+PL+CI+HI+FO+SR+ESD Amarillo 43. FABRICADO EN TEXTIL. PUNTERA DE Fibra de vidrio. PLANTILLA Antiperforación textil. SUELA DE EVA/CAUCHO-NITRILO"/>
    <s v="Zapato S1+Pl+Ci+Hi+Fo+Sr+Esd Amarillo 43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3"/>
    <n v="8457780314162"/>
    <s v="18457780314169"/>
    <s v="https://forli.es/evolution/340-10328-HOUSTONAM.html#/27-talla-35/42-color-negro_black"/>
    <s v="https://forli.es/index.php?controller=attachment&amp;id_attachment=162"/>
  </r>
  <r>
    <s v="FOR.HOUSTONAM"/>
    <x v="39"/>
    <s v="FOR.HOUSTONAM-15-44"/>
    <s v="ZAPATO S1+PL+CI+HI+FO+SR+ESD Amarillo 44"/>
    <s v="ZAPATO S1+PL+CI+HI+FO+SR+ESD Amarillo 44. FABRICADO EN TEXTIL. PUNTERA DE Fibra de vidrio. PLANTILLA Antiperforación textil. SUELA DE EVA/CAUCHO-NITRILO"/>
    <s v="Zapato S1+Pl+Ci+Hi+Fo+Sr+Esd Amarillo 44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4"/>
    <n v="8457780314179"/>
    <s v="18457780314176"/>
    <s v="https://forli.es/evolution/340-10328-HOUSTONAM.html#/27-talla-35/42-color-negro_black"/>
    <s v="https://forli.es/index.php?controller=attachment&amp;id_attachment=162"/>
  </r>
  <r>
    <s v="FOR.HOUSTONAM"/>
    <x v="39"/>
    <s v="FOR.HOUSTONAM-15-45"/>
    <s v="ZAPATO S1+PL+CI+HI+FO+SR+ESD Amarillo 45"/>
    <s v="ZAPATO S1+PL+CI+HI+FO+SR+ESD Amarillo 45. FABRICADO EN TEXTIL. PUNTERA DE Fibra de vidrio. PLANTILLA Antiperforación textil. SUELA DE EVA/CAUCHO-NITRILO"/>
    <s v="Zapato S1+Pl+Ci+Hi+Fo+Sr+Esd Amarillo 45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5"/>
    <n v="8457780314186"/>
    <s v="18457780314183"/>
    <s v="https://forli.es/evolution/340-10328-HOUSTONAM.html#/27-talla-35/42-color-negro_black"/>
    <s v="https://forli.es/index.php?controller=attachment&amp;id_attachment=162"/>
  </r>
  <r>
    <s v="FOR.HOUSTONAM"/>
    <x v="39"/>
    <s v="FOR.HOUSTONAM-15-46"/>
    <s v="ZAPATO S1+PL+CI+HI+FO+SR+ESD Amarillo 46"/>
    <s v="ZAPATO S1+PL+CI+HI+FO+SR+ESD Amarillo 46. FABRICADO EN TEXTIL. PUNTERA DE Fibra de vidrio. PLANTILLA Antiperforación textil. SUELA DE EVA/CAUCHO-NITRILO"/>
    <s v="Zapato S1+Pl+Ci+Hi+Fo+Sr+Esd Amarillo 46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6"/>
    <n v="8457780314193"/>
    <s v="18457780314190"/>
    <s v="https://forli.es/evolution/340-10328-HOUSTONAM.html#/27-talla-35/42-color-negro_black"/>
    <s v="https://forli.es/index.php?controller=attachment&amp;id_attachment=162"/>
  </r>
  <r>
    <s v="FOR.HOUSTONAM"/>
    <x v="39"/>
    <s v="FOR.HOUSTONAM-15-47"/>
    <s v="ZAPATO S1+PL+CI+HI+FO+SR+ESD Amarillo 47"/>
    <s v="ZAPATO S1+PL+CI+HI+FO+SR+ESD Amarillo 47. FABRICADO EN TEXTIL. PUNTERA DE Fibra de vidrio. PLANTILLA Antiperforación textil. SUELA DE EVA/CAUCHO-NITRILO"/>
    <s v="Zapato S1+Pl+Ci+Hi+Fo+Sr+Esd Amarillo 47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7"/>
    <n v="8457780314209"/>
    <s v="18457780314206"/>
    <s v="https://forli.es/evolution/340-10328-HOUSTONAM.html#/27-talla-35/42-color-negro_black"/>
    <s v="https://forli.es/index.php?controller=attachment&amp;id_attachment=162"/>
  </r>
  <r>
    <s v="FOR.HOUSTONAM"/>
    <x v="39"/>
    <s v="FOR.HOUSTONAM-15-48"/>
    <s v="ZAPATO S1+PL+CI+HI+FO+SR+ESD Amarillo 48"/>
    <s v="ZAPATO S1+PL+CI+HI+FO+SR+ESD Amarillo 48. FABRICADO EN TEXTIL. PUNTERA DE Fibra de vidrio. PLANTILLA Antiperforación textil. SUELA DE EVA/CAUCHO-NITRILO"/>
    <s v="Zapato S1+Pl+Ci+Hi+Fo+Sr+Esd Amarillo 48. Fabricado En Textil. Puntera De Fibra De Vidrio. Plantilla Antiperforación Textil. Suela De Eva/Caucho-Nitrilo"/>
    <n v="38.9"/>
    <x v="1"/>
    <x v="0"/>
    <s v="AMARILLO"/>
    <s v="TEXTIL"/>
    <s v="Fibra de vidrio"/>
    <s v="Antiperforación textil"/>
    <s v="EVA/CAUCHO-NITRILO"/>
    <n v="48"/>
    <n v="8457780314216"/>
    <s v="18457780314213"/>
    <s v="https://forli.es/evolution/340-10328-HOUSTONAM.html#/27-talla-35/42-color-negro_black"/>
    <s v="https://forli.es/index.php?controller=attachment&amp;id_attachment=162"/>
  </r>
  <r>
    <s v="FOR.HOUSTONAZ"/>
    <x v="40"/>
    <s v="FOR.HOUSTONAZ-75-35"/>
    <s v="ZAPATO S1+PL+CI+HI+FO+SR+ESD Azulina 35"/>
    <s v="ZAPATO S1+PL+CI+HI+FO+SR+ESD Azulina 35. FABRICADO EN TEXTIL. PUNTERA DE Fibra de vidrio. PLANTILLA Antiperforación textil. SUELA DE EVA/CAUCHO-NITRILO"/>
    <s v="Zapato S1+Pl+Ci+Hi+Fo+Sr+Esd Azulina 35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35"/>
    <n v="8457780314223"/>
    <s v="18457780314220"/>
    <s v="https://forli.es/evolution/341-3073-HOUSTONAZ.html#/27-talla-35/43-color-azul"/>
    <s v="https://forli.es/index.php?controller=attachment&amp;id_attachment=163"/>
  </r>
  <r>
    <s v="FOR.HOUSTONAZ"/>
    <x v="40"/>
    <s v="FOR.HOUSTONAZ-75-36"/>
    <s v="ZAPATO S1+PL+CI+HI+FO+SR+ESD Azulina 36"/>
    <s v="ZAPATO S1+PL+CI+HI+FO+SR+ESD Azulina 36. FABRICADO EN TEXTIL. PUNTERA DE Fibra de vidrio. PLANTILLA Antiperforación textil. SUELA DE EVA/CAUCHO-NITRILO"/>
    <s v="Zapato S1+Pl+Ci+Hi+Fo+Sr+Esd Azulina 36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36"/>
    <n v="8457780314230"/>
    <s v="18457780314237"/>
    <s v="https://forli.es/evolution/341-3073-HOUSTONAZ.html#/27-talla-35/43-color-azul"/>
    <s v="https://forli.es/index.php?controller=attachment&amp;id_attachment=163"/>
  </r>
  <r>
    <s v="FOR.HOUSTONAZ"/>
    <x v="40"/>
    <s v="FOR.HOUSTONAZ-75-37"/>
    <s v="ZAPATO S1+PL+CI+HI+FO+SR+ESD Azulina 37"/>
    <s v="ZAPATO S1+PL+CI+HI+FO+SR+ESD Azulina 37. FABRICADO EN TEXTIL. PUNTERA DE Fibra de vidrio. PLANTILLA Antiperforación textil. SUELA DE EVA/CAUCHO-NITRILO"/>
    <s v="Zapato S1+Pl+Ci+Hi+Fo+Sr+Esd Azulina 37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37"/>
    <n v="8457780314247"/>
    <s v="18457780314244"/>
    <s v="https://forli.es/evolution/341-3073-HOUSTONAZ.html#/27-talla-35/43-color-azul"/>
    <s v="https://forli.es/index.php?controller=attachment&amp;id_attachment=163"/>
  </r>
  <r>
    <s v="FOR.HOUSTONAZ"/>
    <x v="40"/>
    <s v="FOR.HOUSTONAZ-75-38"/>
    <s v="ZAPATO S1+PL+CI+HI+FO+SR+ESD Azulina 38"/>
    <s v="ZAPATO S1+PL+CI+HI+FO+SR+ESD Azulina 38. FABRICADO EN TEXTIL. PUNTERA DE Fibra de vidrio. PLANTILLA Antiperforación textil. SUELA DE EVA/CAUCHO-NITRILO"/>
    <s v="Zapato S1+Pl+Ci+Hi+Fo+Sr+Esd Azulina 38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38"/>
    <n v="8457780314254"/>
    <s v="18457780314251"/>
    <s v="https://forli.es/evolution/341-3073-HOUSTONAZ.html#/27-talla-35/43-color-azul"/>
    <s v="https://forli.es/index.php?controller=attachment&amp;id_attachment=163"/>
  </r>
  <r>
    <s v="FOR.HOUSTONAZ"/>
    <x v="40"/>
    <s v="FOR.HOUSTONAZ-75-39"/>
    <s v="ZAPATO S1+PL+CI+HI+FO+SR+ESD Azulina 39"/>
    <s v="ZAPATO S1+PL+CI+HI+FO+SR+ESD Azulina 39. FABRICADO EN TEXTIL. PUNTERA DE Fibra de vidrio. PLANTILLA Antiperforación textil. SUELA DE EVA/CAUCHO-NITRILO"/>
    <s v="Zapato S1+Pl+Ci+Hi+Fo+Sr+Esd Azulina 39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39"/>
    <n v="8457780314261"/>
    <s v="18457780314268"/>
    <s v="https://forli.es/evolution/341-3073-HOUSTONAZ.html#/27-talla-35/43-color-azul"/>
    <s v="https://forli.es/index.php?controller=attachment&amp;id_attachment=163"/>
  </r>
  <r>
    <s v="FOR.HOUSTONAZ"/>
    <x v="40"/>
    <s v="FOR.HOUSTONAZ-75-40"/>
    <s v="ZAPATO S1+PL+CI+HI+FO+SR+ESD Azulina 40"/>
    <s v="ZAPATO S1+PL+CI+HI+FO+SR+ESD Azulina 40. FABRICADO EN TEXTIL. PUNTERA DE Fibra de vidrio. PLANTILLA Antiperforación textil. SUELA DE EVA/CAUCHO-NITRILO"/>
    <s v="Zapato S1+Pl+Ci+Hi+Fo+Sr+Esd Azulina 40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0"/>
    <n v="8457780314278"/>
    <s v="18457780314275"/>
    <s v="https://forli.es/evolution/341-3073-HOUSTONAZ.html#/27-talla-35/43-color-azul"/>
    <s v="https://forli.es/index.php?controller=attachment&amp;id_attachment=163"/>
  </r>
  <r>
    <s v="FOR.HOUSTONAZ"/>
    <x v="40"/>
    <s v="FOR.HOUSTONAZ-75-41"/>
    <s v="ZAPATO S1+PL+CI+HI+FO+SR+ESD Azulina 41"/>
    <s v="ZAPATO S1+PL+CI+HI+FO+SR+ESD Azulina 41. FABRICADO EN TEXTIL. PUNTERA DE Fibra de vidrio. PLANTILLA Antiperforación textil. SUELA DE EVA/CAUCHO-NITRILO"/>
    <s v="Zapato S1+Pl+Ci+Hi+Fo+Sr+Esd Azulina 41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1"/>
    <n v="8457780314285"/>
    <s v="18457780314282"/>
    <s v="https://forli.es/evolution/341-3073-HOUSTONAZ.html#/27-talla-35/43-color-azul"/>
    <s v="https://forli.es/index.php?controller=attachment&amp;id_attachment=163"/>
  </r>
  <r>
    <s v="FOR.HOUSTONAZ"/>
    <x v="40"/>
    <s v="FOR.HOUSTONAZ-75-42"/>
    <s v="ZAPATO S1+PL+CI+HI+FO+SR+ESD Azulina 42"/>
    <s v="ZAPATO S1+PL+CI+HI+FO+SR+ESD Azulina 42. FABRICADO EN TEXTIL. PUNTERA DE Fibra de vidrio. PLANTILLA Antiperforación textil. SUELA DE EVA/CAUCHO-NITRILO"/>
    <s v="Zapato S1+Pl+Ci+Hi+Fo+Sr+Esd Azulina 42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2"/>
    <n v="8457780314292"/>
    <s v="18457780314299"/>
    <s v="https://forli.es/evolution/341-3073-HOUSTONAZ.html#/27-talla-35/43-color-azul"/>
    <s v="https://forli.es/index.php?controller=attachment&amp;id_attachment=163"/>
  </r>
  <r>
    <s v="FOR.HOUSTONAZ"/>
    <x v="40"/>
    <s v="FOR.HOUSTONAZ-75-43"/>
    <s v="ZAPATO S1+PL+CI+HI+FO+SR+ESD Azulina 43"/>
    <s v="ZAPATO S1+PL+CI+HI+FO+SR+ESD Azulina 43. FABRICADO EN TEXTIL. PUNTERA DE Fibra de vidrio. PLANTILLA Antiperforación textil. SUELA DE EVA/CAUCHO-NITRILO"/>
    <s v="Zapato S1+Pl+Ci+Hi+Fo+Sr+Esd Azulina 43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3"/>
    <n v="8457780314308"/>
    <s v="18457780314305"/>
    <s v="https://forli.es/evolution/341-3073-HOUSTONAZ.html#/27-talla-35/43-color-azul"/>
    <s v="https://forli.es/index.php?controller=attachment&amp;id_attachment=163"/>
  </r>
  <r>
    <s v="FOR.HOUSTONAZ"/>
    <x v="40"/>
    <s v="FOR.HOUSTONAZ-75-44"/>
    <s v="ZAPATO S1+PL+CI+HI+FO+SR+ESD Azulina 44"/>
    <s v="ZAPATO S1+PL+CI+HI+FO+SR+ESD Azulina 44. FABRICADO EN TEXTIL. PUNTERA DE Fibra de vidrio. PLANTILLA Antiperforación textil. SUELA DE EVA/CAUCHO-NITRILO"/>
    <s v="Zapato S1+Pl+Ci+Hi+Fo+Sr+Esd Azulina 44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4"/>
    <n v="8457780314315"/>
    <s v="18457780314312"/>
    <s v="https://forli.es/evolution/341-3073-HOUSTONAZ.html#/27-talla-35/43-color-azul"/>
    <s v="https://forli.es/index.php?controller=attachment&amp;id_attachment=163"/>
  </r>
  <r>
    <s v="FOR.HOUSTONAZ"/>
    <x v="40"/>
    <s v="FOR.HOUSTONAZ-75-45"/>
    <s v="ZAPATO S1+PL+CI+HI+FO+SR+ESD Azulina 45"/>
    <s v="ZAPATO S1+PL+CI+HI+FO+SR+ESD Azulina 45. FABRICADO EN TEXTIL. PUNTERA DE Fibra de vidrio. PLANTILLA Antiperforación textil. SUELA DE EVA/CAUCHO-NITRILO"/>
    <s v="Zapato S1+Pl+Ci+Hi+Fo+Sr+Esd Azulina 45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5"/>
    <n v="8457780314322"/>
    <s v="18457780314329"/>
    <s v="https://forli.es/evolution/341-3073-HOUSTONAZ.html#/27-talla-35/43-color-azul"/>
    <s v="https://forli.es/index.php?controller=attachment&amp;id_attachment=163"/>
  </r>
  <r>
    <s v="FOR.HOUSTONAZ"/>
    <x v="40"/>
    <s v="FOR.HOUSTONAZ-75-46"/>
    <s v="ZAPATO S1+PL+CI+HI+FO+SR+ESD Azulina 46"/>
    <s v="ZAPATO S1+PL+CI+HI+FO+SR+ESD Azulina 46. FABRICADO EN TEXTIL. PUNTERA DE Fibra de vidrio. PLANTILLA Antiperforación textil. SUELA DE EVA/CAUCHO-NITRILO"/>
    <s v="Zapato S1+Pl+Ci+Hi+Fo+Sr+Esd Azulina 46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6"/>
    <n v="8457780314339"/>
    <s v="18457780314336"/>
    <s v="https://forli.es/evolution/341-3073-HOUSTONAZ.html#/27-talla-35/43-color-azul"/>
    <s v="https://forli.es/index.php?controller=attachment&amp;id_attachment=163"/>
  </r>
  <r>
    <s v="FOR.HOUSTONAZ"/>
    <x v="40"/>
    <s v="FOR.HOUSTONAZ-75-47"/>
    <s v="ZAPATO S1+PL+CI+HI+FO+SR+ESD Azulina 47"/>
    <s v="ZAPATO S1+PL+CI+HI+FO+SR+ESD Azulina 47. FABRICADO EN TEXTIL. PUNTERA DE Fibra de vidrio. PLANTILLA Antiperforación textil. SUELA DE EVA/CAUCHO-NITRILO"/>
    <s v="Zapato S1+Pl+Ci+Hi+Fo+Sr+Esd Azulina 47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7"/>
    <n v="8457780314346"/>
    <s v="18457780314343"/>
    <s v="https://forli.es/evolution/341-3073-HOUSTONAZ.html#/27-talla-35/43-color-azul"/>
    <s v="https://forli.es/index.php?controller=attachment&amp;id_attachment=163"/>
  </r>
  <r>
    <s v="FOR.HOUSTONAZ"/>
    <x v="40"/>
    <s v="FOR.HOUSTONAZ-75-48"/>
    <s v="ZAPATO S1+PL+CI+HI+FO+SR+ESD Azulina 48"/>
    <s v="ZAPATO S1+PL+CI+HI+FO+SR+ESD Azulina 48. FABRICADO EN TEXTIL. PUNTERA DE Fibra de vidrio. PLANTILLA Antiperforación textil. SUELA DE EVA/CAUCHO-NITRILO"/>
    <s v="Zapato S1+Pl+Ci+Hi+Fo+Sr+Esd Azulina 48. Fabricado En Textil. Puntera De Fibra De Vidrio. Plantilla Antiperforación Textil. Suela De Eva/Caucho-Nitrilo"/>
    <n v="38.9"/>
    <x v="1"/>
    <x v="0"/>
    <s v="AZUL"/>
    <s v="TEXTIL"/>
    <s v="Fibra de vidrio"/>
    <s v="Antiperforación textil"/>
    <s v="EVA/CAUCHO-NITRILO"/>
    <n v="48"/>
    <n v="8457780314353"/>
    <s v="18457780314350"/>
    <s v="https://forli.es/evolution/341-3073-HOUSTONAZ.html#/27-talla-35/43-color-azul"/>
    <s v="https://forli.es/index.php?controller=attachment&amp;id_attachment=163"/>
  </r>
  <r>
    <s v="FOR.SIDNEY"/>
    <x v="41"/>
    <s v="FOR.SIDNEY-99-35"/>
    <s v="ZAPATO S1+PS+CI+HI+FO+HRO+SR+ESD Negro-Azul 35"/>
    <s v="ZAPATO S1+PS+CI+HI+FO+HRO+SR+ESD Negro-Azul 35. FABRICADO EN TEXTIL TRANSPIRABLE CON REFUERZO EN PUNTERA Y TRASERA. PUNTERA DE Fibra de vidrio. PLANTILLA Antiperforación textil. SUELA DE EVA/CAUCHO-NITRILO"/>
    <s v="Zapato S1+Ps+Ci+Hi+Fo+Hro+Sr+Esd Negro-Azul 35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35"/>
    <n v="8457780336560"/>
    <s v="18457780336567"/>
    <s v="https://forli.es/inicio/384-harlem-s3s-hi-ci-fo-hro-sc-sr-esd.html"/>
    <m/>
  </r>
  <r>
    <s v="FOR.SIDNEY"/>
    <x v="41"/>
    <s v="FOR.SIDNEY-99-36"/>
    <s v="ZAPATO S1+PS+CI+HI+FO+HRO+SR+ESD Negro-Azul 36"/>
    <s v="ZAPATO S1+PS+CI+HI+FO+HRO+SR+ESD Negro-Azul 36. FABRICADO EN TEXTIL TRANSPIRABLE CON REFUERZO EN PUNTERA Y TRASERA. PUNTERA DE Fibra de vidrio. PLANTILLA Antiperforación textil. SUELA DE EVA/CAUCHO-NITRILO"/>
    <s v="Zapato S1+Ps+Ci+Hi+Fo+Hro+Sr+Esd Negro-Azul 36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36"/>
    <n v="8457780336577"/>
    <s v="18457780336574"/>
    <s v="https://forli.es/inicio/384-harlem-s3s-hi-ci-fo-hro-sc-sr-esd.html"/>
    <m/>
  </r>
  <r>
    <s v="FOR.SIDNEY"/>
    <x v="41"/>
    <s v="FOR.SIDNEY-99-37"/>
    <s v="ZAPATO S1+PS+CI+HI+FO+HRO+SR+ESD Negro-Azul 37"/>
    <s v="ZAPATO S1+PS+CI+HI+FO+HRO+SR+ESD Negro-Azul 37. FABRICADO EN TEXTIL TRANSPIRABLE CON REFUERZO EN PUNTERA Y TRASERA. PUNTERA DE Fibra de vidrio. PLANTILLA Antiperforación textil. SUELA DE EVA/CAUCHO-NITRILO"/>
    <s v="Zapato S1+Ps+Ci+Hi+Fo+Hro+Sr+Esd Negro-Azul 37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37"/>
    <n v="8457780336584"/>
    <s v="18457780336581"/>
    <s v="https://forli.es/inicio/384-harlem-s3s-hi-ci-fo-hro-sc-sr-esd.html"/>
    <m/>
  </r>
  <r>
    <s v="FOR.SIDNEY"/>
    <x v="41"/>
    <s v="FOR.SIDNEY-99-38"/>
    <s v="ZAPATO S1+PS+CI+HI+FO+HRO+SR+ESD Negro-Azul 38"/>
    <s v="ZAPATO S1+PS+CI+HI+FO+HRO+SR+ESD Negro-Azul 38. FABRICADO EN TEXTIL TRANSPIRABLE CON REFUERZO EN PUNTERA Y TRASERA. PUNTERA DE Fibra de vidrio. PLANTILLA Antiperforación textil. SUELA DE EVA/CAUCHO-NITRILO"/>
    <s v="Zapato S1+Ps+Ci+Hi+Fo+Hro+Sr+Esd Negro-Azul 38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38"/>
    <n v="8457780336591"/>
    <s v="18457780336598"/>
    <s v="https://forli.es/inicio/384-harlem-s3s-hi-ci-fo-hro-sc-sr-esd.html"/>
    <m/>
  </r>
  <r>
    <s v="FOR.SIDNEY"/>
    <x v="41"/>
    <s v="FOR.SIDNEY-99-39"/>
    <s v="ZAPATO S1+PS+CI+HI+FO+HRO+SR+ESD Negro-Azul 39"/>
    <s v="ZAPATO S1+PS+CI+HI+FO+HRO+SR+ESD Negro-Azul 39. FABRICADO EN TEXTIL TRANSPIRABLE CON REFUERZO EN PUNTERA Y TRASERA. PUNTERA DE Fibra de vidrio. PLANTILLA Antiperforación textil. SUELA DE EVA/CAUCHO-NITRILO"/>
    <s v="Zapato S1+Ps+Ci+Hi+Fo+Hro+Sr+Esd Negro-Azul 39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39"/>
    <n v="8457780336607"/>
    <s v="18457780336604"/>
    <s v="https://forli.es/inicio/384-harlem-s3s-hi-ci-fo-hro-sc-sr-esd.html"/>
    <m/>
  </r>
  <r>
    <s v="FOR.SIDNEY"/>
    <x v="41"/>
    <s v="FOR.SIDNEY-99-40"/>
    <s v="ZAPATO S1+PS+CI+HI+FO+HRO+SR+ESD Negro-Azul 40"/>
    <s v="ZAPATO S1+PS+CI+HI+FO+HRO+SR+ESD Negro-Azul 40. FABRICADO EN TEXTIL TRANSPIRABLE CON REFUERZO EN PUNTERA Y TRASERA. PUNTERA DE Fibra de vidrio. PLANTILLA Antiperforación textil. SUELA DE EVA/CAUCHO-NITRILO"/>
    <s v="Zapato S1+Ps+Ci+Hi+Fo+Hro+Sr+Esd Negro-Azul 40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0"/>
    <n v="8457780336614"/>
    <s v="18457780336611"/>
    <s v="https://forli.es/inicio/384-harlem-s3s-hi-ci-fo-hro-sc-sr-esd.html"/>
    <m/>
  </r>
  <r>
    <s v="FOR.SIDNEY"/>
    <x v="41"/>
    <s v="FOR.SIDNEY-99-41"/>
    <s v="ZAPATO S1+PS+CI+HI+FO+HRO+SR+ESD Negro-Azul 41"/>
    <s v="ZAPATO S1+PS+CI+HI+FO+HRO+SR+ESD Negro-Azul 41. FABRICADO EN TEXTIL TRANSPIRABLE CON REFUERZO EN PUNTERA Y TRASERA. PUNTERA DE Fibra de vidrio. PLANTILLA Antiperforación textil. SUELA DE EVA/CAUCHO-NITRILO"/>
    <s v="Zapato S1+Ps+Ci+Hi+Fo+Hro+Sr+Esd Negro-Azul 41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1"/>
    <n v="8457780336621"/>
    <s v="18457780336628"/>
    <s v="https://forli.es/inicio/384-harlem-s3s-hi-ci-fo-hro-sc-sr-esd.html"/>
    <m/>
  </r>
  <r>
    <s v="FOR.SIDNEY"/>
    <x v="41"/>
    <s v="FOR.SIDNEY-99-42"/>
    <s v="ZAPATO S1+PS+CI+HI+FO+HRO+SR+ESD Negro-Azul 42"/>
    <s v="ZAPATO S1+PS+CI+HI+FO+HRO+SR+ESD Negro-Azul 42. FABRICADO EN TEXTIL TRANSPIRABLE CON REFUERZO EN PUNTERA Y TRASERA. PUNTERA DE Fibra de vidrio. PLANTILLA Antiperforación textil. SUELA DE EVA/CAUCHO-NITRILO"/>
    <s v="Zapato S1+Ps+Ci+Hi+Fo+Hro+Sr+Esd Negro-Azul 42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2"/>
    <n v="8457780336638"/>
    <s v="18457780336635"/>
    <s v="https://forli.es/inicio/384-harlem-s3s-hi-ci-fo-hro-sc-sr-esd.html"/>
    <m/>
  </r>
  <r>
    <s v="FOR.SIDNEY"/>
    <x v="41"/>
    <s v="FOR.SIDNEY-99-43"/>
    <s v="ZAPATO S1+PS+CI+HI+FO+HRO+SR+ESD Negro-Azul 43"/>
    <s v="ZAPATO S1+PS+CI+HI+FO+HRO+SR+ESD Negro-Azul 43. FABRICADO EN TEXTIL TRANSPIRABLE CON REFUERZO EN PUNTERA Y TRASERA. PUNTERA DE Fibra de vidrio. PLANTILLA Antiperforación textil. SUELA DE EVA/CAUCHO-NITRILO"/>
    <s v="Zapato S1+Ps+Ci+Hi+Fo+Hro+Sr+Esd Negro-Azul 43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3"/>
    <n v="8457780336645"/>
    <s v="18457780336642"/>
    <s v="https://forli.es/inicio/384-harlem-s3s-hi-ci-fo-hro-sc-sr-esd.html"/>
    <m/>
  </r>
  <r>
    <s v="FOR.SIDNEY"/>
    <x v="41"/>
    <s v="FOR.SIDNEY-99-44"/>
    <s v="ZAPATO S1+PS+CI+HI+FO+HRO+SR+ESD Negro-Azul 44"/>
    <s v="ZAPATO S1+PS+CI+HI+FO+HRO+SR+ESD Negro-Azul 44. FABRICADO EN TEXTIL TRANSPIRABLE CON REFUERZO EN PUNTERA Y TRASERA. PUNTERA DE Fibra de vidrio. PLANTILLA Antiperforación textil. SUELA DE EVA/CAUCHO-NITRILO"/>
    <s v="Zapato S1+Ps+Ci+Hi+Fo+Hro+Sr+Esd Negro-Azul 44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4"/>
    <n v="8457780336652"/>
    <s v="18457780336659"/>
    <s v="https://forli.es/inicio/384-harlem-s3s-hi-ci-fo-hro-sc-sr-esd.html"/>
    <m/>
  </r>
  <r>
    <s v="FOR.SIDNEY"/>
    <x v="41"/>
    <s v="FOR.SIDNEY-99-45"/>
    <s v="ZAPATO S1+PS+CI+HI+FO+HRO+SR+ESD Negro-Azul 45"/>
    <s v="ZAPATO S1+PS+CI+HI+FO+HRO+SR+ESD Negro-Azul 45. FABRICADO EN TEXTIL TRANSPIRABLE CON REFUERZO EN PUNTERA Y TRASERA. PUNTERA DE Fibra de vidrio. PLANTILLA Antiperforación textil. SUELA DE EVA/CAUCHO-NITRILO"/>
    <s v="Zapato S1+Ps+Ci+Hi+Fo+Hro+Sr+Esd Negro-Azul 45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5"/>
    <n v="8457780336669"/>
    <s v="18457780336666"/>
    <s v="https://forli.es/inicio/384-harlem-s3s-hi-ci-fo-hro-sc-sr-esd.html"/>
    <m/>
  </r>
  <r>
    <s v="FOR.SIDNEY"/>
    <x v="41"/>
    <s v="FOR.SIDNEY-99-46"/>
    <s v="ZAPATO S1+PS+CI+HI+FO+HRO+SR+ESD Negro-Azul 46"/>
    <s v="ZAPATO S1+PS+CI+HI+FO+HRO+SR+ESD Negro-Azul 46. FABRICADO EN TEXTIL TRANSPIRABLE CON REFUERZO EN PUNTERA Y TRASERA. PUNTERA DE Fibra de vidrio. PLANTILLA Antiperforación textil. SUELA DE EVA/CAUCHO-NITRILO"/>
    <s v="Zapato S1+Ps+Ci+Hi+Fo+Hro+Sr+Esd Negro-Azul 46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6"/>
    <n v="8457780336676"/>
    <s v="18457780336673"/>
    <s v="https://forli.es/inicio/384-harlem-s3s-hi-ci-fo-hro-sc-sr-esd.html"/>
    <m/>
  </r>
  <r>
    <s v="FOR.SIDNEY"/>
    <x v="41"/>
    <s v="FOR.SIDNEY-99-47"/>
    <s v="ZAPATO S1+PS+CI+HI+FO+HRO+SR+ESD Negro-Azul 47"/>
    <s v="ZAPATO S1+PS+CI+HI+FO+HRO+SR+ESD Negro-Azul 47. FABRICADO EN TEXTIL TRANSPIRABLE CON REFUERZO EN PUNTERA Y TRASERA. PUNTERA DE Fibra de vidrio. PLANTILLA Antiperforación textil. SUELA DE EVA/CAUCHO-NITRILO"/>
    <s v="Zapato S1+Ps+Ci+Hi+Fo+Hro+Sr+Esd Negro-Azul 47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7"/>
    <n v="8457780336683"/>
    <s v="18457780336680"/>
    <s v="https://forli.es/inicio/384-harlem-s3s-hi-ci-fo-hro-sc-sr-esd.html"/>
    <m/>
  </r>
  <r>
    <s v="FOR.SIDNEY"/>
    <x v="41"/>
    <s v="FOR.SIDNEY-99-48"/>
    <s v="ZAPATO S1+PS+CI+HI+FO+HRO+SR+ESD Negro-Azul 48"/>
    <s v="ZAPATO S1+PS+CI+HI+FO+HRO+SR+ESD Negro-Azul 48. FABRICADO EN TEXTIL TRANSPIRABLE CON REFUERZO EN PUNTERA Y TRASERA. PUNTERA DE Fibra de vidrio. PLANTILLA Antiperforación textil. SUELA DE EVA/CAUCHO-NITRILO"/>
    <s v="Zapato S1+Ps+Ci+Hi+Fo+Hro+Sr+Esd Negro-Azul 48. Fabricado En Textil Transpirable Con Refuerzo En Puntera Y Trasera. Puntera De Fibra De Vidrio. Plantilla Antiperforación Textil. Suela De Eva/Caucho-Nitrilo"/>
    <n v="35.5"/>
    <x v="1"/>
    <x v="0"/>
    <s v="NEGRO"/>
    <s v="TEXTIL TRANSPIRABLE CON REFUERZO EN PUNTERA Y TRASERA"/>
    <s v="Fibra de vidrio"/>
    <s v="Antiperforación textil"/>
    <s v="EVA/CAUCHO-NITRILO"/>
    <n v="48"/>
    <n v="8457780336690"/>
    <s v="18457780336697"/>
    <s v="https://forli.es/inicio/384-harlem-s3s-hi-ci-fo-hro-sc-sr-esd.html"/>
    <m/>
  </r>
  <r>
    <s v="FOR.YORKBL"/>
    <x v="42"/>
    <s v="FOR.YORKBL-00-35"/>
    <s v="ZAPATO S2+CI+FO+SR Blanco 35"/>
    <s v="ZAPATO S2+CI+FO+SR Blanco 35. FABRICADO EN MICROFIBRA. PUNTERA DE Fibra de vidrio. PLANTILLA No lleva. SUELA DE PU/PU DOBLE DENSIDAD"/>
    <s v="Zapato S2+Ci+Fo+Sr Blanco 35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35"/>
    <n v="8457780322150"/>
    <s v="18457780322157"/>
    <s v="https://forli.es/white-metal-free/362-10910-YORKBL.html#/27-talla-35/48-color-blanco"/>
    <s v="https://forli.es/index.php?controller=attachment&amp;id_attachment=217"/>
  </r>
  <r>
    <s v="FOR.YORKBL"/>
    <x v="42"/>
    <s v="FOR.YORKBL-00-36"/>
    <s v="ZAPATO S2+CI+FO+SR Blanco 36"/>
    <s v="ZAPATO S2+CI+FO+SR Blanco 36. FABRICADO EN MICROFIBRA. PUNTERA DE Fibra de vidrio. PLANTILLA No lleva. SUELA DE PU/PU DOBLE DENSIDAD"/>
    <s v="Zapato S2+Ci+Fo+Sr Blanco 36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36"/>
    <n v="8457780322167"/>
    <s v="18457780322164"/>
    <s v="https://forli.es/white-metal-free/362-10910-YORKBL.html#/27-talla-35/48-color-blanco"/>
    <s v="https://forli.es/index.php?controller=attachment&amp;id_attachment=217"/>
  </r>
  <r>
    <s v="FOR.YORKBL"/>
    <x v="42"/>
    <s v="FOR.YORKBL-00-37"/>
    <s v="ZAPATO S2+CI+FO+SR Blanco 37"/>
    <s v="ZAPATO S2+CI+FO+SR Blanco 37. FABRICADO EN MICROFIBRA. PUNTERA DE Fibra de vidrio. PLANTILLA No lleva. SUELA DE PU/PU DOBLE DENSIDAD"/>
    <s v="Zapato S2+Ci+Fo+Sr Blanco 37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37"/>
    <n v="8457780322174"/>
    <s v="18457780322171"/>
    <s v="https://forli.es/white-metal-free/362-10910-YORKBL.html#/27-talla-35/48-color-blanco"/>
    <s v="https://forli.es/index.php?controller=attachment&amp;id_attachment=217"/>
  </r>
  <r>
    <s v="FOR.YORKBL"/>
    <x v="42"/>
    <s v="FOR.YORKBL-00-38"/>
    <s v="ZAPATO S2+CI+FO+SR Blanco 38"/>
    <s v="ZAPATO S2+CI+FO+SR Blanco 38. FABRICADO EN MICROFIBRA. PUNTERA DE Fibra de vidrio. PLANTILLA No lleva. SUELA DE PU/PU DOBLE DENSIDAD"/>
    <s v="Zapato S2+Ci+Fo+Sr Blanco 38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38"/>
    <n v="8457780322181"/>
    <s v="18457780322188"/>
    <s v="https://forli.es/white-metal-free/362-10910-YORKBL.html#/27-talla-35/48-color-blanco"/>
    <s v="https://forli.es/index.php?controller=attachment&amp;id_attachment=217"/>
  </r>
  <r>
    <s v="FOR.YORKBL"/>
    <x v="42"/>
    <s v="FOR.YORKBL-00-39"/>
    <s v="ZAPATO S2+CI+FO+SR Blanco 39"/>
    <s v="ZAPATO S2+CI+FO+SR Blanco 39. FABRICADO EN MICROFIBRA. PUNTERA DE Fibra de vidrio. PLANTILLA No lleva. SUELA DE PU/PU DOBLE DENSIDAD"/>
    <s v="Zapato S2+Ci+Fo+Sr Blanco 39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39"/>
    <n v="8457780322198"/>
    <s v="18457780322195"/>
    <s v="https://forli.es/white-metal-free/362-10910-YORKBL.html#/27-talla-35/48-color-blanco"/>
    <s v="https://forli.es/index.php?controller=attachment&amp;id_attachment=217"/>
  </r>
  <r>
    <s v="FOR.YORKBL"/>
    <x v="42"/>
    <s v="FOR.YORKBL-00-40"/>
    <s v="ZAPATO S2+CI+FO+SR Blanco 40"/>
    <s v="ZAPATO S2+CI+FO+SR Blanco 40. FABRICADO EN MICROFIBRA. PUNTERA DE Fibra de vidrio. PLANTILLA No lleva. SUELA DE PU/PU DOBLE DENSIDAD"/>
    <s v="Zapato S2+Ci+Fo+Sr Blanco 40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0"/>
    <n v="8457780322204"/>
    <s v="18457780322201"/>
    <s v="https://forli.es/white-metal-free/362-10910-YORKBL.html#/27-talla-35/48-color-blanco"/>
    <s v="https://forli.es/index.php?controller=attachment&amp;id_attachment=217"/>
  </r>
  <r>
    <s v="FOR.YORKBL"/>
    <x v="42"/>
    <s v="FOR.YORKBL-00-41"/>
    <s v="ZAPATO S2+CI+FO+SR Blanco 41"/>
    <s v="ZAPATO S2+CI+FO+SR Blanco 41. FABRICADO EN MICROFIBRA. PUNTERA DE Fibra de vidrio. PLANTILLA No lleva. SUELA DE PU/PU DOBLE DENSIDAD"/>
    <s v="Zapato S2+Ci+Fo+Sr Blanco 41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1"/>
    <n v="8457780322211"/>
    <s v="18457780322218"/>
    <s v="https://forli.es/white-metal-free/362-10910-YORKBL.html#/27-talla-35/48-color-blanco"/>
    <s v="https://forli.es/index.php?controller=attachment&amp;id_attachment=217"/>
  </r>
  <r>
    <s v="FOR.YORKBL"/>
    <x v="42"/>
    <s v="FOR.YORKBL-00-42"/>
    <s v="ZAPATO S2+CI+FO+SR Blanco 42"/>
    <s v="ZAPATO S2+CI+FO+SR Blanco 42. FABRICADO EN MICROFIBRA. PUNTERA DE Fibra de vidrio. PLANTILLA No lleva. SUELA DE PU/PU DOBLE DENSIDAD"/>
    <s v="Zapato S2+Ci+Fo+Sr Blanco 42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2"/>
    <n v="8457780322228"/>
    <s v="18457780322225"/>
    <s v="https://forli.es/white-metal-free/362-10910-YORKBL.html#/27-talla-35/48-color-blanco"/>
    <s v="https://forli.es/index.php?controller=attachment&amp;id_attachment=217"/>
  </r>
  <r>
    <s v="FOR.YORKBL"/>
    <x v="42"/>
    <s v="FOR.YORKBL-00-43"/>
    <s v="ZAPATO S2+CI+FO+SR Blanco 43"/>
    <s v="ZAPATO S2+CI+FO+SR Blanco 43. FABRICADO EN MICROFIBRA. PUNTERA DE Fibra de vidrio. PLANTILLA No lleva. SUELA DE PU/PU DOBLE DENSIDAD"/>
    <s v="Zapato S2+Ci+Fo+Sr Blanco 43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3"/>
    <n v="8457780322235"/>
    <s v="18457780322232"/>
    <s v="https://forli.es/white-metal-free/362-10910-YORKBL.html#/27-talla-35/48-color-blanco"/>
    <s v="https://forli.es/index.php?controller=attachment&amp;id_attachment=217"/>
  </r>
  <r>
    <s v="FOR.YORKBL"/>
    <x v="42"/>
    <s v="FOR.YORKBL-00-44"/>
    <s v="ZAPATO S2+CI+FO+SR Blanco 44"/>
    <s v="ZAPATO S2+CI+FO+SR Blanco 44. FABRICADO EN MICROFIBRA. PUNTERA DE Fibra de vidrio. PLANTILLA No lleva. SUELA DE PU/PU DOBLE DENSIDAD"/>
    <s v="Zapato S2+Ci+Fo+Sr Blanco 44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4"/>
    <n v="8457780322242"/>
    <s v="18457780322249"/>
    <s v="https://forli.es/white-metal-free/362-10910-YORKBL.html#/27-talla-35/48-color-blanco"/>
    <s v="https://forli.es/index.php?controller=attachment&amp;id_attachment=217"/>
  </r>
  <r>
    <s v="FOR.YORKBL"/>
    <x v="42"/>
    <s v="FOR.YORKBL-00-45"/>
    <s v="ZAPATO S2+CI+FO+SR Blanco 45"/>
    <s v="ZAPATO S2+CI+FO+SR Blanco 45. FABRICADO EN MICROFIBRA. PUNTERA DE Fibra de vidrio. PLANTILLA No lleva. SUELA DE PU/PU DOBLE DENSIDAD"/>
    <s v="Zapato S2+Ci+Fo+Sr Blanco 45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5"/>
    <n v="8457780322259"/>
    <s v="18457780322256"/>
    <s v="https://forli.es/white-metal-free/362-10910-YORKBL.html#/27-talla-35/48-color-blanco"/>
    <s v="https://forli.es/index.php?controller=attachment&amp;id_attachment=217"/>
  </r>
  <r>
    <s v="FOR.YORKBL"/>
    <x v="42"/>
    <s v="FOR.YORKBL-00-46"/>
    <s v="ZAPATO S2+CI+FO+SR Blanco 46"/>
    <s v="ZAPATO S2+CI+FO+SR Blanco 46. FABRICADO EN MICROFIBRA. PUNTERA DE Fibra de vidrio. PLANTILLA No lleva. SUELA DE PU/PU DOBLE DENSIDAD"/>
    <s v="Zapato S2+Ci+Fo+Sr Blanco 46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6"/>
    <n v="8457780322266"/>
    <s v="18457780322263"/>
    <s v="https://forli.es/white-metal-free/362-10910-YORKBL.html#/27-talla-35/48-color-blanco"/>
    <s v="https://forli.es/index.php?controller=attachment&amp;id_attachment=217"/>
  </r>
  <r>
    <s v="FOR.YORKBL"/>
    <x v="42"/>
    <s v="FOR.YORKBL-00-47"/>
    <s v="ZAPATO S2+CI+FO+SR Blanco 47"/>
    <s v="ZAPATO S2+CI+FO+SR Blanco 47. FABRICADO EN MICROFIBRA. PUNTERA DE Fibra de vidrio. PLANTILLA No lleva. SUELA DE PU/PU DOBLE DENSIDAD"/>
    <s v="Zapato S2+Ci+Fo+Sr Blanco 47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7"/>
    <n v="8457780322273"/>
    <s v="18457780322270"/>
    <s v="https://forli.es/white-metal-free/362-10910-YORKBL.html#/27-talla-35/48-color-blanco"/>
    <s v="https://forli.es/index.php?controller=attachment&amp;id_attachment=217"/>
  </r>
  <r>
    <s v="FOR.YORKBL"/>
    <x v="42"/>
    <s v="FOR.YORKBL-00-48"/>
    <s v="ZAPATO S2+CI+FO+SR Blanco 48"/>
    <s v="ZAPATO S2+CI+FO+SR Blanco 48. FABRICADO EN MICROFIBRA. PUNTERA DE Fibra de vidrio. PLANTILLA No lleva. SUELA DE PU/PU DOBLE DENSIDAD"/>
    <s v="Zapato S2+Ci+Fo+Sr Blanco 48. Fabricado En Microfibra. Puntera De Fibra De Vidrio. Plantilla No Lleva. Suela De Pu/Pu Doble Densidad"/>
    <n v="17.95"/>
    <x v="1"/>
    <x v="0"/>
    <s v="BLANCO"/>
    <s v="MICROFIBRA"/>
    <s v="Fibra de vidrio"/>
    <s v="No lleva"/>
    <s v="PU/PU DOBLE DENSIDAD"/>
    <n v="48"/>
    <n v="8457780322280"/>
    <s v="18457780322287"/>
    <s v="https://forli.es/white-metal-free/362-10910-YORKBL.html#/27-talla-35/48-color-blanco"/>
    <s v="https://forli.es/index.php?controller=attachment&amp;id_attachment=217"/>
  </r>
  <r>
    <s v="FOR.YORKNG"/>
    <x v="43"/>
    <s v="FOR.YORKNG-99-35"/>
    <s v="ZAPATO S2+CI+FO+SR Negro 35"/>
    <s v="ZAPATO S2+CI+FO+SR Negro 35. FABRICADO EN MICROFIBRA. PUNTERA DE Fibra de vidrio. PLANTILLA No lleva. SUELA DE PU/PU DOBLE DENSIDAD"/>
    <s v="Zapato S2+Ci+Fo+Sr Negro 35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35"/>
    <n v="8457780322297"/>
    <s v="18457780322294"/>
    <s v="https://forli.es/white-metal-free/363-10924-YORKNG.html#/27-talla-35/42-color-negro_black"/>
    <s v="https://forli.es/index.php?controller=attachment&amp;id_attachment=221"/>
  </r>
  <r>
    <s v="FOR.YORKNG"/>
    <x v="43"/>
    <s v="FOR.YORKNG-99-36"/>
    <s v="ZAPATO S2+CI+FO+SR Negro 36"/>
    <s v="ZAPATO S2+CI+FO+SR Negro 36. FABRICADO EN MICROFIBRA. PUNTERA DE Fibra de vidrio. PLANTILLA No lleva. SUELA DE PU/PU DOBLE DENSIDAD"/>
    <s v="Zapato S2+Ci+Fo+Sr Negro 36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36"/>
    <n v="8457780322303"/>
    <s v="18457780322300"/>
    <s v="https://forli.es/white-metal-free/363-10924-YORKNG.html#/27-talla-35/42-color-negro_black"/>
    <s v="https://forli.es/index.php?controller=attachment&amp;id_attachment=221"/>
  </r>
  <r>
    <s v="FOR.YORKNG"/>
    <x v="43"/>
    <s v="FOR.YORKNG-99-37"/>
    <s v="ZAPATO S2+CI+FO+SR Negro 37"/>
    <s v="ZAPATO S2+CI+FO+SR Negro 37. FABRICADO EN MICROFIBRA. PUNTERA DE Fibra de vidrio. PLANTILLA No lleva. SUELA DE PU/PU DOBLE DENSIDAD"/>
    <s v="Zapato S2+Ci+Fo+Sr Negro 37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37"/>
    <n v="8457780322310"/>
    <s v="18457780322317"/>
    <s v="https://forli.es/white-metal-free/363-10924-YORKNG.html#/27-talla-35/42-color-negro_black"/>
    <s v="https://forli.es/index.php?controller=attachment&amp;id_attachment=221"/>
  </r>
  <r>
    <s v="FOR.YORKNG"/>
    <x v="43"/>
    <s v="FOR.YORKNG-99-38"/>
    <s v="ZAPATO S2+CI+FO+SR Negro 38"/>
    <s v="ZAPATO S2+CI+FO+SR Negro 38. FABRICADO EN MICROFIBRA. PUNTERA DE Fibra de vidrio. PLANTILLA No lleva. SUELA DE PU/PU DOBLE DENSIDAD"/>
    <s v="Zapato S2+Ci+Fo+Sr Negro 38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38"/>
    <n v="8457780322327"/>
    <s v="18457780322324"/>
    <s v="https://forli.es/white-metal-free/363-10924-YORKNG.html#/27-talla-35/42-color-negro_black"/>
    <s v="https://forli.es/index.php?controller=attachment&amp;id_attachment=221"/>
  </r>
  <r>
    <s v="FOR.YORKNG"/>
    <x v="43"/>
    <s v="FOR.YORKNG-99-39"/>
    <s v="ZAPATO S2+CI+FO+SR Negro 39"/>
    <s v="ZAPATO S2+CI+FO+SR Negro 39. FABRICADO EN MICROFIBRA. PUNTERA DE Fibra de vidrio. PLANTILLA No lleva. SUELA DE PU/PU DOBLE DENSIDAD"/>
    <s v="Zapato S2+Ci+Fo+Sr Negro 39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39"/>
    <n v="8457780322334"/>
    <s v="18457780322331"/>
    <s v="https://forli.es/white-metal-free/363-10924-YORKNG.html#/27-talla-35/42-color-negro_black"/>
    <s v="https://forli.es/index.php?controller=attachment&amp;id_attachment=221"/>
  </r>
  <r>
    <s v="FOR.YORKNG"/>
    <x v="43"/>
    <s v="FOR.YORKNG-99-40"/>
    <s v="ZAPATO S2+CI+FO+SR Negro 40"/>
    <s v="ZAPATO S2+CI+FO+SR Negro 40. FABRICADO EN MICROFIBRA. PUNTERA DE Fibra de vidrio. PLANTILLA No lleva. SUELA DE PU/PU DOBLE DENSIDAD"/>
    <s v="Zapato S2+Ci+Fo+Sr Negro 40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0"/>
    <n v="8457780322341"/>
    <s v="18457780322348"/>
    <s v="https://forli.es/white-metal-free/363-10924-YORKNG.html#/27-talla-35/42-color-negro_black"/>
    <s v="https://forli.es/index.php?controller=attachment&amp;id_attachment=221"/>
  </r>
  <r>
    <s v="FOR.YORKNG"/>
    <x v="43"/>
    <s v="FOR.YORKNG-99-41"/>
    <s v="ZAPATO S2+CI+FO+SR Negro 41"/>
    <s v="ZAPATO S2+CI+FO+SR Negro 41. FABRICADO EN MICROFIBRA. PUNTERA DE Fibra de vidrio. PLANTILLA No lleva. SUELA DE PU/PU DOBLE DENSIDAD"/>
    <s v="Zapato S2+Ci+Fo+Sr Negro 41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1"/>
    <n v="8457780322358"/>
    <s v="18457780322355"/>
    <s v="https://forli.es/white-metal-free/363-10924-YORKNG.html#/27-talla-35/42-color-negro_black"/>
    <s v="https://forli.es/index.php?controller=attachment&amp;id_attachment=221"/>
  </r>
  <r>
    <s v="FOR.YORKNG"/>
    <x v="43"/>
    <s v="FOR.YORKNG-99-42"/>
    <s v="ZAPATO S2+CI+FO+SR Negro 42"/>
    <s v="ZAPATO S2+CI+FO+SR Negro 42. FABRICADO EN MICROFIBRA. PUNTERA DE Fibra de vidrio. PLANTILLA No lleva. SUELA DE PU/PU DOBLE DENSIDAD"/>
    <s v="Zapato S2+Ci+Fo+Sr Negro 42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2"/>
    <n v="8457780322365"/>
    <s v="18457780322362"/>
    <s v="https://forli.es/white-metal-free/363-10924-YORKNG.html#/27-talla-35/42-color-negro_black"/>
    <s v="https://forli.es/index.php?controller=attachment&amp;id_attachment=221"/>
  </r>
  <r>
    <s v="FOR.YORKNG"/>
    <x v="43"/>
    <s v="FOR.YORKNG-99-43"/>
    <s v="ZAPATO S2+CI+FO+SR Negro 43"/>
    <s v="ZAPATO S2+CI+FO+SR Negro 43. FABRICADO EN MICROFIBRA. PUNTERA DE Fibra de vidrio. PLANTILLA No lleva. SUELA DE PU/PU DOBLE DENSIDAD"/>
    <s v="Zapato S2+Ci+Fo+Sr Negro 43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3"/>
    <n v="8457780322372"/>
    <s v="18457780322379"/>
    <s v="https://forli.es/white-metal-free/363-10924-YORKNG.html#/27-talla-35/42-color-negro_black"/>
    <s v="https://forli.es/index.php?controller=attachment&amp;id_attachment=221"/>
  </r>
  <r>
    <s v="FOR.YORKNG"/>
    <x v="43"/>
    <s v="FOR.YORKNG-99-44"/>
    <s v="ZAPATO S2+CI+FO+SR Negro 44"/>
    <s v="ZAPATO S2+CI+FO+SR Negro 44. FABRICADO EN MICROFIBRA. PUNTERA DE Fibra de vidrio. PLANTILLA No lleva. SUELA DE PU/PU DOBLE DENSIDAD"/>
    <s v="Zapato S2+Ci+Fo+Sr Negro 44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4"/>
    <n v="8457780322389"/>
    <s v="18457780322386"/>
    <s v="https://forli.es/white-metal-free/363-10924-YORKNG.html#/27-talla-35/42-color-negro_black"/>
    <s v="https://forli.es/index.php?controller=attachment&amp;id_attachment=221"/>
  </r>
  <r>
    <s v="FOR.YORKNG"/>
    <x v="43"/>
    <s v="FOR.YORKNG-99-45"/>
    <s v="ZAPATO S2+CI+FO+SR Negro 45"/>
    <s v="ZAPATO S2+CI+FO+SR Negro 45. FABRICADO EN MICROFIBRA. PUNTERA DE Fibra de vidrio. PLANTILLA No lleva. SUELA DE PU/PU DOBLE DENSIDAD"/>
    <s v="Zapato S2+Ci+Fo+Sr Negro 45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5"/>
    <n v="8457780322396"/>
    <s v="18457780322393"/>
    <s v="https://forli.es/white-metal-free/363-10924-YORKNG.html#/27-talla-35/42-color-negro_black"/>
    <s v="https://forli.es/index.php?controller=attachment&amp;id_attachment=221"/>
  </r>
  <r>
    <s v="FOR.YORKNG"/>
    <x v="43"/>
    <s v="FOR.YORKNG-99-46"/>
    <s v="ZAPATO S2+CI+FO+SR Negro 46"/>
    <s v="ZAPATO S2+CI+FO+SR Negro 46. FABRICADO EN MICROFIBRA. PUNTERA DE Fibra de vidrio. PLANTILLA No lleva. SUELA DE PU/PU DOBLE DENSIDAD"/>
    <s v="Zapato S2+Ci+Fo+Sr Negro 46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6"/>
    <n v="8457780322402"/>
    <s v="18457780322409"/>
    <s v="https://forli.es/white-metal-free/363-10924-YORKNG.html#/27-talla-35/42-color-negro_black"/>
    <s v="https://forli.es/index.php?controller=attachment&amp;id_attachment=221"/>
  </r>
  <r>
    <s v="FOR.YORKNG"/>
    <x v="43"/>
    <s v="FOR.YORKNG-99-47"/>
    <s v="ZAPATO S2+CI+FO+SR Negro 47"/>
    <s v="ZAPATO S2+CI+FO+SR Negro 47. FABRICADO EN MICROFIBRA. PUNTERA DE Fibra de vidrio. PLANTILLA No lleva. SUELA DE PU/PU DOBLE DENSIDAD"/>
    <s v="Zapato S2+Ci+Fo+Sr Negro 47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7"/>
    <n v="8457780322419"/>
    <s v="18457780322416"/>
    <s v="https://forli.es/white-metal-free/363-10924-YORKNG.html#/27-talla-35/42-color-negro_black"/>
    <s v="https://forli.es/index.php?controller=attachment&amp;id_attachment=221"/>
  </r>
  <r>
    <s v="FOR.YORKNG"/>
    <x v="43"/>
    <s v="FOR.YORKNG-99-48"/>
    <s v="ZAPATO S2+CI+FO+SR Negro 48"/>
    <s v="ZAPATO S2+CI+FO+SR Negro 48. FABRICADO EN MICROFIBRA. PUNTERA DE Fibra de vidrio. PLANTILLA No lleva. SUELA DE PU/PU DOBLE DENSIDAD"/>
    <s v="Zapato S2+Ci+Fo+Sr Negro 48. Fabricado En Microfibra. Puntera De Fibra De Vidrio. Plantilla No Lleva. Suela De Pu/Pu Doble Densidad"/>
    <n v="17.95"/>
    <x v="1"/>
    <x v="0"/>
    <s v="NEGRO"/>
    <s v="MICROFIBRA"/>
    <s v="Fibra de vidrio"/>
    <s v="No lleva"/>
    <s v="PU/PU DOBLE DENSIDAD"/>
    <n v="48"/>
    <n v="8457780322426"/>
    <s v="18457780322423"/>
    <s v="https://forli.es/white-metal-free/363-10924-YORKNG.html#/27-talla-35/42-color-negro_black"/>
    <s v="https://forli.es/index.php?controller=attachment&amp;id_attachment=221"/>
  </r>
  <r>
    <s v="FOR.ROCK"/>
    <x v="44"/>
    <s v="FOR.ROCK-99-35"/>
    <s v="ZAPATO S3+CI+SRC+ESD Azul 35"/>
    <s v="ZAPATO S3+CI+SRC+ESD Azul 35. FABRICADO EN TEXTIL S3. PUNTERA DE Fibra de vidrio. PLANTILLA Antiperforación textil. SUELA DE PU/PU DOBLE DENSIDAD"/>
    <s v="Zapato S3+Ci+Src+Esd Azul 35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35"/>
    <n v="8457780312403"/>
    <s v="18457780312400"/>
    <s v="https://forli.es/rider/284-2373-ROCK.html#/27-talla-35/42-color-negro_black"/>
    <s v="https://forli.es/index.php?controller=attachment&amp;id_attachment=113"/>
  </r>
  <r>
    <s v="FOR.ROCK"/>
    <x v="44"/>
    <s v="FOR.ROCK-99-36"/>
    <s v="ZAPATO S3+CI+SRC+ESD Azul 36"/>
    <s v="ZAPATO S3+CI+SRC+ESD Azul 36. FABRICADO EN TEXTIL S3. PUNTERA DE Fibra de vidrio. PLANTILLA Antiperforación textil. SUELA DE PU/PU DOBLE DENSIDAD"/>
    <s v="Zapato S3+Ci+Src+Esd Azul 36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36"/>
    <n v="8457780312410"/>
    <s v="18457780312417"/>
    <s v="https://forli.es/rider/284-2373-ROCK.html#/27-talla-35/42-color-negro_black"/>
    <s v="https://forli.es/index.php?controller=attachment&amp;id_attachment=113"/>
  </r>
  <r>
    <s v="FOR.ROCK"/>
    <x v="44"/>
    <s v="FOR.ROCK-99-37"/>
    <s v="ZAPATO S3+CI+SRC+ESD Azul 37"/>
    <s v="ZAPATO S3+CI+SRC+ESD Azul 37. FABRICADO EN TEXTIL S3. PUNTERA DE Fibra de vidrio. PLANTILLA Antiperforación textil. SUELA DE PU/PU DOBLE DENSIDAD"/>
    <s v="Zapato S3+Ci+Src+Esd Azul 37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37"/>
    <n v="8457780312427"/>
    <s v="18457780312424"/>
    <s v="https://forli.es/rider/284-2373-ROCK.html#/27-talla-35/42-color-negro_black"/>
    <s v="https://forli.es/index.php?controller=attachment&amp;id_attachment=113"/>
  </r>
  <r>
    <s v="FOR.ROCK"/>
    <x v="44"/>
    <s v="FOR.ROCK-99-38"/>
    <s v="ZAPATO S3+CI+SRC+ESD Azul 38"/>
    <s v="ZAPATO S3+CI+SRC+ESD Azul 38. FABRICADO EN TEXTIL S3. PUNTERA DE Fibra de vidrio. PLANTILLA Antiperforación textil. SUELA DE PU/PU DOBLE DENSIDAD"/>
    <s v="Zapato S3+Ci+Src+Esd Azul 38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38"/>
    <n v="8457780312434"/>
    <s v="18457780312431"/>
    <s v="https://forli.es/rider/284-2373-ROCK.html#/27-talla-35/42-color-negro_black"/>
    <s v="https://forli.es/index.php?controller=attachment&amp;id_attachment=113"/>
  </r>
  <r>
    <s v="FOR.ROCK"/>
    <x v="44"/>
    <s v="FOR.ROCK-99-39"/>
    <s v="ZAPATO S3+CI+SRC+ESD Azul 39"/>
    <s v="ZAPATO S3+CI+SRC+ESD Azul 39. FABRICADO EN TEXTIL S3. PUNTERA DE Fibra de vidrio. PLANTILLA Antiperforación textil. SUELA DE PU/PU DOBLE DENSIDAD"/>
    <s v="Zapato S3+Ci+Src+Esd Azul 39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39"/>
    <n v="8457780312441"/>
    <s v="18457780312448"/>
    <s v="https://forli.es/rider/284-2373-ROCK.html#/27-talla-35/42-color-negro_black"/>
    <s v="https://forli.es/index.php?controller=attachment&amp;id_attachment=113"/>
  </r>
  <r>
    <s v="FOR.ROCK"/>
    <x v="44"/>
    <s v="FOR.ROCK-99-40"/>
    <s v="ZAPATO S3+CI+SRC+ESD Azul 40"/>
    <s v="ZAPATO S3+CI+SRC+ESD Azul 40. FABRICADO EN TEXTIL S3. PUNTERA DE Fibra de vidrio. PLANTILLA Antiperforación textil. SUELA DE PU/PU DOBLE DENSIDAD"/>
    <s v="Zapato S3+Ci+Src+Esd Azul 40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0"/>
    <n v="8457780312458"/>
    <s v="18457780312455"/>
    <s v="https://forli.es/rider/284-2373-ROCK.html#/27-talla-35/42-color-negro_black"/>
    <s v="https://forli.es/index.php?controller=attachment&amp;id_attachment=113"/>
  </r>
  <r>
    <s v="FOR.ROCK"/>
    <x v="44"/>
    <s v="FOR.ROCK-99-41"/>
    <s v="ZAPATO S3+CI+SRC+ESD Azul 41"/>
    <s v="ZAPATO S3+CI+SRC+ESD Azul 41. FABRICADO EN TEXTIL S3. PUNTERA DE Fibra de vidrio. PLANTILLA Antiperforación textil. SUELA DE PU/PU DOBLE DENSIDAD"/>
    <s v="Zapato S3+Ci+Src+Esd Azul 41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1"/>
    <n v="8457780312465"/>
    <s v="18457780312462"/>
    <s v="https://forli.es/rider/284-2373-ROCK.html#/27-talla-35/42-color-negro_black"/>
    <s v="https://forli.es/index.php?controller=attachment&amp;id_attachment=113"/>
  </r>
  <r>
    <s v="FOR.ROCK"/>
    <x v="44"/>
    <s v="FOR.ROCK-99-42"/>
    <s v="ZAPATO S3+CI+SRC+ESD Azul 42"/>
    <s v="ZAPATO S3+CI+SRC+ESD Azul 42. FABRICADO EN TEXTIL S3. PUNTERA DE Fibra de vidrio. PLANTILLA Antiperforación textil. SUELA DE PU/PU DOBLE DENSIDAD"/>
    <s v="Zapato S3+Ci+Src+Esd Azul 42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2"/>
    <n v="8457780312472"/>
    <s v="18457780312479"/>
    <s v="https://forli.es/rider/284-2373-ROCK.html#/27-talla-35/42-color-negro_black"/>
    <s v="https://forli.es/index.php?controller=attachment&amp;id_attachment=113"/>
  </r>
  <r>
    <s v="FOR.ROCK"/>
    <x v="44"/>
    <s v="FOR.ROCK-99-43"/>
    <s v="ZAPATO S3+CI+SRC+ESD Azul 43"/>
    <s v="ZAPATO S3+CI+SRC+ESD Azul 43. FABRICADO EN TEXTIL S3. PUNTERA DE Fibra de vidrio. PLANTILLA Antiperforación textil. SUELA DE PU/PU DOBLE DENSIDAD"/>
    <s v="Zapato S3+Ci+Src+Esd Azul 43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3"/>
    <n v="8457780312489"/>
    <s v="18457780312486"/>
    <s v="https://forli.es/rider/284-2373-ROCK.html#/27-talla-35/42-color-negro_black"/>
    <s v="https://forli.es/index.php?controller=attachment&amp;id_attachment=113"/>
  </r>
  <r>
    <s v="FOR.ROCK"/>
    <x v="44"/>
    <s v="FOR.ROCK-99-44"/>
    <s v="ZAPATO S3+CI+SRC+ESD Azul 44"/>
    <s v="ZAPATO S3+CI+SRC+ESD Azul 44. FABRICADO EN TEXTIL S3. PUNTERA DE Fibra de vidrio. PLANTILLA Antiperforación textil. SUELA DE PU/PU DOBLE DENSIDAD"/>
    <s v="Zapato S3+Ci+Src+Esd Azul 44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4"/>
    <n v="8457780312496"/>
    <s v="18457780312493"/>
    <s v="https://forli.es/rider/284-2373-ROCK.html#/27-talla-35/42-color-negro_black"/>
    <s v="https://forli.es/index.php?controller=attachment&amp;id_attachment=113"/>
  </r>
  <r>
    <s v="FOR.ROCK"/>
    <x v="44"/>
    <s v="FOR.ROCK-99-45"/>
    <s v="ZAPATO S3+CI+SRC+ESD Azul 45"/>
    <s v="ZAPATO S3+CI+SRC+ESD Azul 45. FABRICADO EN TEXTIL S3. PUNTERA DE Fibra de vidrio. PLANTILLA Antiperforación textil. SUELA DE PU/PU DOBLE DENSIDAD"/>
    <s v="Zapato S3+Ci+Src+Esd Azul 45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5"/>
    <n v="8457780312502"/>
    <s v="18457780312509"/>
    <s v="https://forli.es/rider/284-2373-ROCK.html#/27-talla-35/42-color-negro_black"/>
    <s v="https://forli.es/index.php?controller=attachment&amp;id_attachment=113"/>
  </r>
  <r>
    <s v="FOR.ROCK"/>
    <x v="44"/>
    <s v="FOR.ROCK-99-46"/>
    <s v="ZAPATO S3+CI+SRC+ESD Azul 46"/>
    <s v="ZAPATO S3+CI+SRC+ESD Azul 46. FABRICADO EN TEXTIL S3. PUNTERA DE Fibra de vidrio. PLANTILLA Antiperforación textil. SUELA DE PU/PU DOBLE DENSIDAD"/>
    <s v="Zapato S3+Ci+Src+Esd Azul 46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6"/>
    <n v="8457780312519"/>
    <s v="18457780312516"/>
    <s v="https://forli.es/rider/284-2373-ROCK.html#/27-talla-35/42-color-negro_black"/>
    <s v="https://forli.es/index.php?controller=attachment&amp;id_attachment=113"/>
  </r>
  <r>
    <s v="FOR.ROCK"/>
    <x v="44"/>
    <s v="FOR.ROCK-99-47"/>
    <s v="ZAPATO S3+CI+SRC+ESD Azul 47"/>
    <s v="ZAPATO S3+CI+SRC+ESD Azul 47. FABRICADO EN TEXTIL S3. PUNTERA DE Fibra de vidrio. PLANTILLA Antiperforación textil. SUELA DE PU/PU DOBLE DENSIDAD"/>
    <s v="Zapato S3+Ci+Src+Esd Azul 47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7"/>
    <n v="8457780312526"/>
    <s v="18457780312523"/>
    <s v="https://forli.es/rider/284-2373-ROCK.html#/27-talla-35/42-color-negro_black"/>
    <s v="https://forli.es/index.php?controller=attachment&amp;id_attachment=113"/>
  </r>
  <r>
    <s v="FOR.ROCK"/>
    <x v="44"/>
    <s v="FOR.ROCK-99-48"/>
    <s v="ZAPATO S3+CI+SRC+ESD Azul 48"/>
    <s v="ZAPATO S3+CI+SRC+ESD Azul 48. FABRICADO EN TEXTIL S3. PUNTERA DE Fibra de vidrio. PLANTILLA Antiperforación textil. SUELA DE PU/PU DOBLE DENSIDAD"/>
    <s v="Zapato S3+Ci+Src+Esd Azul 48. Fabricado En Textil S3. Puntera De Fibra De Vidrio. Plantilla Antiperforación Textil. Suela De Pu/Pu Doble Densidad"/>
    <n v="24.9"/>
    <x v="1"/>
    <x v="0"/>
    <s v="NEGRO"/>
    <s v="TEXTIL S3"/>
    <s v="Fibra de vidrio"/>
    <s v="Antiperforación textil"/>
    <s v="PU/PU DOBLE DENSIDAD"/>
    <n v="48"/>
    <n v="8457780312533"/>
    <s v="18457780312530"/>
    <s v="https://forli.es/rider/284-2373-ROCK.html#/27-talla-35/42-color-negro_black"/>
    <s v="https://forli.es/index.php?controller=attachment&amp;id_attachment=113"/>
  </r>
  <r>
    <s v="FOR.TEXAS"/>
    <x v="45"/>
    <s v="FOR.TEXAS-94-35"/>
    <s v="ZAPATO S3S +CI+HI+ FO+SR+ESD Gris 35"/>
    <s v="ZAPATO S3S +CI+HI+ FO+SR+ESD Gris 35. FABRICADO EN MICROFIBRA ACABADO NOBUCK. PUNTERA DE Fibra de vidrio. PLANTILLA Antiperforación textil. SUELA DE EVA/CAUCHO-NITRILO"/>
    <s v="Zapato S3S +Ci+Hi+ Fo+Sr+Esd Gris 35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35"/>
    <n v="8457780337123"/>
    <s v="18457780337120"/>
    <s v="https://forli.es/evolution/373-11054-TEXAS.html#/27-talla-35/41-color-gris"/>
    <m/>
  </r>
  <r>
    <s v="FOR.TEXAS"/>
    <x v="45"/>
    <s v="FOR.TEXAS-94-36"/>
    <s v="ZAPATO S3S +CI+HI+ FO+SR+ESD Gris 36"/>
    <s v="ZAPATO S3S +CI+HI+ FO+SR+ESD Gris 36. FABRICADO EN MICROFIBRA ACABADO NOBUCK. PUNTERA DE Fibra de vidrio. PLANTILLA Antiperforación textil. SUELA DE EVA/CAUCHO-NITRILO"/>
    <s v="Zapato S3S +Ci+Hi+ Fo+Sr+Esd Gris 36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36"/>
    <n v="8457780337130"/>
    <s v="18457780337137"/>
    <s v="https://forli.es/evolution/373-11054-TEXAS.html#/27-talla-35/41-color-gris"/>
    <m/>
  </r>
  <r>
    <s v="FOR.TEXAS"/>
    <x v="45"/>
    <s v="FOR.TEXAS-94-37"/>
    <s v="ZAPATO S3S +CI+HI+ FO+SR+ESD Gris 37"/>
    <s v="ZAPATO S3S +CI+HI+ FO+SR+ESD Gris 37. FABRICADO EN MICROFIBRA ACABADO NOBUCK. PUNTERA DE Fibra de vidrio. PLANTILLA Antiperforación textil. SUELA DE EVA/CAUCHO-NITRILO"/>
    <s v="Zapato S3S +Ci+Hi+ Fo+Sr+Esd Gris 37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37"/>
    <n v="8457780337147"/>
    <s v="18457780337144"/>
    <s v="https://forli.es/evolution/373-11054-TEXAS.html#/27-talla-35/41-color-gris"/>
    <m/>
  </r>
  <r>
    <s v="FOR.TEXAS"/>
    <x v="45"/>
    <s v="FOR.TEXAS-94-38"/>
    <s v="ZAPATO S3S +CI+HI+ FO+SR+ESD Gris 38"/>
    <s v="ZAPATO S3S +CI+HI+ FO+SR+ESD Gris 38. FABRICADO EN MICROFIBRA ACABADO NOBUCK. PUNTERA DE Fibra de vidrio. PLANTILLA Antiperforación textil. SUELA DE EVA/CAUCHO-NITRILO"/>
    <s v="Zapato S3S +Ci+Hi+ Fo+Sr+Esd Gris 38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38"/>
    <n v="8457780337154"/>
    <s v="18457780337151"/>
    <s v="https://forli.es/evolution/373-11054-TEXAS.html#/27-talla-35/41-color-gris"/>
    <m/>
  </r>
  <r>
    <s v="FOR.TEXAS"/>
    <x v="45"/>
    <s v="FOR.TEXAS-94-39"/>
    <s v="ZAPATO S3S +CI+HI+ FO+SR+ESD Gris 39"/>
    <s v="ZAPATO S3S +CI+HI+ FO+SR+ESD Gris 39. FABRICADO EN MICROFIBRA ACABADO NOBUCK. PUNTERA DE Fibra de vidrio. PLANTILLA Antiperforación textil. SUELA DE EVA/CAUCHO-NITRILO"/>
    <s v="Zapato S3S +Ci+Hi+ Fo+Sr+Esd Gris 39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39"/>
    <n v="8457780337161"/>
    <s v="18457780337168"/>
    <s v="https://forli.es/evolution/373-11054-TEXAS.html#/27-talla-35/41-color-gris"/>
    <m/>
  </r>
  <r>
    <s v="FOR.TEXAS"/>
    <x v="45"/>
    <s v="FOR.TEXAS-94-40"/>
    <s v="ZAPATO S3S +CI+HI+ FO+SR+ESD Gris 40"/>
    <s v="ZAPATO S3S +CI+HI+ FO+SR+ESD Gris 40. FABRICADO EN MICROFIBRA ACABADO NOBUCK. PUNTERA DE Fibra de vidrio. PLANTILLA Antiperforación textil. SUELA DE EVA/CAUCHO-NITRILO"/>
    <s v="Zapato S3S +Ci+Hi+ Fo+Sr+Esd Gris 40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0"/>
    <n v="8457780337178"/>
    <s v="18457780337175"/>
    <s v="https://forli.es/evolution/373-11054-TEXAS.html#/27-talla-35/41-color-gris"/>
    <m/>
  </r>
  <r>
    <s v="FOR.TEXAS"/>
    <x v="45"/>
    <s v="FOR.TEXAS-94-41"/>
    <s v="ZAPATO S3S +CI+HI+ FO+SR+ESD Gris 41"/>
    <s v="ZAPATO S3S +CI+HI+ FO+SR+ESD Gris 41. FABRICADO EN MICROFIBRA ACABADO NOBUCK. PUNTERA DE Fibra de vidrio. PLANTILLA Antiperforación textil. SUELA DE EVA/CAUCHO-NITRILO"/>
    <s v="Zapato S3S +Ci+Hi+ Fo+Sr+Esd Gris 41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1"/>
    <n v="8457780337185"/>
    <s v="18457780337182"/>
    <s v="https://forli.es/evolution/373-11054-TEXAS.html#/27-talla-35/41-color-gris"/>
    <m/>
  </r>
  <r>
    <s v="FOR.TEXAS"/>
    <x v="45"/>
    <s v="FOR.TEXAS-94-42"/>
    <s v="ZAPATO S3S +CI+HI+ FO+SR+ESD Gris 42"/>
    <s v="ZAPATO S3S +CI+HI+ FO+SR+ESD Gris 42. FABRICADO EN MICROFIBRA ACABADO NOBUCK. PUNTERA DE Fibra de vidrio. PLANTILLA Antiperforación textil. SUELA DE EVA/CAUCHO-NITRILO"/>
    <s v="Zapato S3S +Ci+Hi+ Fo+Sr+Esd Gris 42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2"/>
    <n v="8457780337192"/>
    <s v="18457780337199"/>
    <s v="https://forli.es/evolution/373-11054-TEXAS.html#/27-talla-35/41-color-gris"/>
    <m/>
  </r>
  <r>
    <s v="FOR.TEXAS"/>
    <x v="45"/>
    <s v="FOR.TEXAS-94-43"/>
    <s v="ZAPATO S3S +CI+HI+ FO+SR+ESD Gris 43"/>
    <s v="ZAPATO S3S +CI+HI+ FO+SR+ESD Gris 43. FABRICADO EN MICROFIBRA ACABADO NOBUCK. PUNTERA DE Fibra de vidrio. PLANTILLA Antiperforación textil. SUELA DE EVA/CAUCHO-NITRILO"/>
    <s v="Zapato S3S +Ci+Hi+ Fo+Sr+Esd Gris 43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3"/>
    <n v="8457780337208"/>
    <s v="18457780337205"/>
    <s v="https://forli.es/evolution/373-11054-TEXAS.html#/27-talla-35/41-color-gris"/>
    <m/>
  </r>
  <r>
    <s v="FOR.TEXAS"/>
    <x v="45"/>
    <s v="FOR.TEXAS-94-44"/>
    <s v="ZAPATO S3S +CI+HI+ FO+SR+ESD Gris 44"/>
    <s v="ZAPATO S3S +CI+HI+ FO+SR+ESD Gris 44. FABRICADO EN MICROFIBRA ACABADO NOBUCK. PUNTERA DE Fibra de vidrio. PLANTILLA Antiperforación textil. SUELA DE EVA/CAUCHO-NITRILO"/>
    <s v="Zapato S3S +Ci+Hi+ Fo+Sr+Esd Gris 44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4"/>
    <n v="8457780337215"/>
    <s v="18457780337212"/>
    <s v="https://forli.es/evolution/373-11054-TEXAS.html#/27-talla-35/41-color-gris"/>
    <m/>
  </r>
  <r>
    <s v="FOR.TEXAS"/>
    <x v="45"/>
    <s v="FOR.TEXAS-94-45"/>
    <s v="ZAPATO S3S +CI+HI+ FO+SR+ESD Gris 45"/>
    <s v="ZAPATO S3S +CI+HI+ FO+SR+ESD Gris 45. FABRICADO EN MICROFIBRA ACABADO NOBUCK. PUNTERA DE Fibra de vidrio. PLANTILLA Antiperforación textil. SUELA DE EVA/CAUCHO-NITRILO"/>
    <s v="Zapato S3S +Ci+Hi+ Fo+Sr+Esd Gris 45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5"/>
    <n v="8457780337222"/>
    <s v="18457780337229"/>
    <s v="https://forli.es/evolution/373-11054-TEXAS.html#/27-talla-35/41-color-gris"/>
    <m/>
  </r>
  <r>
    <s v="FOR.TEXAS"/>
    <x v="45"/>
    <s v="FOR.TEXAS-94-46"/>
    <s v="ZAPATO S3S +CI+HI+ FO+SR+ESD Gris 46"/>
    <s v="ZAPATO S3S +CI+HI+ FO+SR+ESD Gris 46. FABRICADO EN MICROFIBRA ACABADO NOBUCK. PUNTERA DE Fibra de vidrio. PLANTILLA Antiperforación textil. SUELA DE EVA/CAUCHO-NITRILO"/>
    <s v="Zapato S3S +Ci+Hi+ Fo+Sr+Esd Gris 46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6"/>
    <n v="8457780337239"/>
    <s v="18457780337236"/>
    <s v="https://forli.es/evolution/373-11054-TEXAS.html#/27-talla-35/41-color-gris"/>
    <m/>
  </r>
  <r>
    <s v="FOR.TEXAS"/>
    <x v="45"/>
    <s v="FOR.TEXAS-94-47"/>
    <s v="ZAPATO S3S +CI+HI+ FO+SR+ESD Gris 47"/>
    <s v="ZAPATO S3S +CI+HI+ FO+SR+ESD Gris 47. FABRICADO EN MICROFIBRA ACABADO NOBUCK. PUNTERA DE Fibra de vidrio. PLANTILLA Antiperforación textil. SUELA DE EVA/CAUCHO-NITRILO"/>
    <s v="Zapato S3S +Ci+Hi+ Fo+Sr+Esd Gris 47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7"/>
    <n v="8457780337246"/>
    <s v="18457780337243"/>
    <s v="https://forli.es/evolution/373-11054-TEXAS.html#/27-talla-35/41-color-gris"/>
    <m/>
  </r>
  <r>
    <s v="FOR.TEXAS"/>
    <x v="45"/>
    <s v="FOR.TEXAS-94-48"/>
    <s v="ZAPATO S3S +CI+HI+ FO+SR+ESD Gris 48"/>
    <s v="ZAPATO S3S +CI+HI+ FO+SR+ESD Gris 48. FABRICADO EN MICROFIBRA ACABADO NOBUCK. PUNTERA DE Fibra de vidrio. PLANTILLA Antiperforación textil. SUELA DE EVA/CAUCHO-NITRILO"/>
    <s v="Zapato S3S +Ci+Hi+ Fo+Sr+Esd Gris 48. Fabricado En Microfibra Acabado Nobuck. Puntera De Fibra De Vidrio. Plantilla Antiperforación Textil. Suela De Eva/Caucho-Nitrilo"/>
    <n v="39.9"/>
    <x v="1"/>
    <x v="0"/>
    <s v="GRIS"/>
    <s v="MICROFIBRA ACABADO NOBUCK"/>
    <s v="Fibra de vidrio"/>
    <s v="Antiperforación textil"/>
    <s v="EVA/CAUCHO-NITRILO"/>
    <n v="48"/>
    <n v="8457780337253"/>
    <s v="18457780337250"/>
    <s v="https://forli.es/evolution/373-11054-TEXAS.html#/27-talla-35/41-color-gris"/>
    <m/>
  </r>
  <r>
    <s v="FOR.HARLEM"/>
    <x v="46"/>
    <s v="FOR.HARLEM-43-35"/>
    <s v="ZAPATO S3S+CI+HI+ FO+HRO+SC+SR +ESD Negro-Rojo 35"/>
    <s v="ZAPATO S3S+CI+HI+ FO+HRO+SC+SR +ESD Negro-Rojo 35. FABRICADO EN MICROFIBRA + MATERIAL ANTIABRASION . PUNTERA DE Fibra de vidrio. PLANTILLA Antiperforación textil. SUELA DE EVA/CAUCHO-NITRILO"/>
    <s v="Zapato S3S+Ci+Hi+ Fo+Hro+Sc+Sr +Esd Negro-Rojo 35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35"/>
    <n v="8457780336843"/>
    <s v="18457780336840"/>
    <s v="https://forli.es/inicio/382-harlem-s3s-hi-ci-fo-hro-sc-sr-esd.html"/>
    <m/>
  </r>
  <r>
    <s v="FOR.HARLEM"/>
    <x v="46"/>
    <s v="FOR.HARLEM-43-36"/>
    <s v="ZAPATO S3S+CI+HI+ FO+HRO+SC+SR +ESD Negro-Rojo 36"/>
    <s v="ZAPATO S3S+CI+HI+ FO+HRO+SC+SR +ESD Negro-Rojo 36. FABRICADO EN MICROFIBRA + MATERIAL ANTIABRASION . PUNTERA DE Fibra de vidrio. PLANTILLA Antiperforación textil. SUELA DE EVA/CAUCHO-NITRILO"/>
    <s v="Zapato S3S+Ci+Hi+ Fo+Hro+Sc+Sr +Esd Negro-Rojo 36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36"/>
    <n v="8457780336850"/>
    <s v="18457780336857"/>
    <s v="https://forli.es/inicio/382-harlem-s3s-hi-ci-fo-hro-sc-sr-esd.html"/>
    <m/>
  </r>
  <r>
    <s v="FOR.HARLEM"/>
    <x v="46"/>
    <s v="FOR.HARLEM-43-37"/>
    <s v="ZAPATO S3S+CI+HI+ FO+HRO+SC+SR +ESD Negro-Rojo 37"/>
    <s v="ZAPATO S3S+CI+HI+ FO+HRO+SC+SR +ESD Negro-Rojo 37. FABRICADO EN MICROFIBRA + MATERIAL ANTIABRASION . PUNTERA DE Fibra de vidrio. PLANTILLA Antiperforación textil. SUELA DE EVA/CAUCHO-NITRILO"/>
    <s v="Zapato S3S+Ci+Hi+ Fo+Hro+Sc+Sr +Esd Negro-Rojo 37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37"/>
    <n v="8457780336867"/>
    <s v="18457780336864"/>
    <s v="https://forli.es/inicio/382-harlem-s3s-hi-ci-fo-hro-sc-sr-esd.html"/>
    <m/>
  </r>
  <r>
    <s v="FOR.HARLEM"/>
    <x v="46"/>
    <s v="FOR.HARLEM-43-38"/>
    <s v="ZAPATO S3S+CI+HI+ FO+HRO+SC+SR +ESD Negro-Rojo 38"/>
    <s v="ZAPATO S3S+CI+HI+ FO+HRO+SC+SR +ESD Negro-Rojo 38. FABRICADO EN MICROFIBRA + MATERIAL ANTIABRASION . PUNTERA DE Fibra de vidrio. PLANTILLA Antiperforación textil. SUELA DE EVA/CAUCHO-NITRILO"/>
    <s v="Zapato S3S+Ci+Hi+ Fo+Hro+Sc+Sr +Esd Negro-Rojo 38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38"/>
    <n v="8457780336874"/>
    <s v="18457780336871"/>
    <s v="https://forli.es/inicio/382-harlem-s3s-hi-ci-fo-hro-sc-sr-esd.html"/>
    <m/>
  </r>
  <r>
    <s v="FOR.HARLEM"/>
    <x v="46"/>
    <s v="FOR.HARLEM-43-39"/>
    <s v="ZAPATO S3S+CI+HI+ FO+HRO+SC+SR +ESD Negro-Rojo 39"/>
    <s v="ZAPATO S3S+CI+HI+ FO+HRO+SC+SR +ESD Negro-Rojo 39. FABRICADO EN MICROFIBRA + MATERIAL ANTIABRASION . PUNTERA DE Fibra de vidrio. PLANTILLA Antiperforación textil. SUELA DE EVA/CAUCHO-NITRILO"/>
    <s v="Zapato S3S+Ci+Hi+ Fo+Hro+Sc+Sr +Esd Negro-Rojo 39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39"/>
    <n v="8457780336881"/>
    <s v="18457780336888"/>
    <s v="https://forli.es/inicio/382-harlem-s3s-hi-ci-fo-hro-sc-sr-esd.html"/>
    <m/>
  </r>
  <r>
    <s v="FOR.HARLEM"/>
    <x v="46"/>
    <s v="FOR.HARLEM-43-40"/>
    <s v="ZAPATO S3S+CI+HI+ FO+HRO+SC+SR +ESD Negro-Rojo 40"/>
    <s v="ZAPATO S3S+CI+HI+ FO+HRO+SC+SR +ESD Negro-Rojo 40. FABRICADO EN MICROFIBRA + MATERIAL ANTIABRASION . PUNTERA DE Fibra de vidrio. PLANTILLA Antiperforación textil. SUELA DE EVA/CAUCHO-NITRILO"/>
    <s v="Zapato S3S+Ci+Hi+ Fo+Hro+Sc+Sr +Esd Negro-Rojo 40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0"/>
    <n v="8457780336898"/>
    <s v="18457780336895"/>
    <s v="https://forli.es/inicio/382-harlem-s3s-hi-ci-fo-hro-sc-sr-esd.html"/>
    <m/>
  </r>
  <r>
    <s v="FOR.HARLEM"/>
    <x v="46"/>
    <s v="FOR.HARLEM-43-41"/>
    <s v="ZAPATO S3S+CI+HI+ FO+HRO+SC+SR +ESD Negro-Rojo 41"/>
    <s v="ZAPATO S3S+CI+HI+ FO+HRO+SC+SR +ESD Negro-Rojo 41. FABRICADO EN MICROFIBRA + MATERIAL ANTIABRASION . PUNTERA DE Fibra de vidrio. PLANTILLA Antiperforación textil. SUELA DE EVA/CAUCHO-NITRILO"/>
    <s v="Zapato S3S+Ci+Hi+ Fo+Hro+Sc+Sr +Esd Negro-Rojo 41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1"/>
    <n v="8457780336904"/>
    <s v="18457780336901"/>
    <s v="https://forli.es/inicio/382-harlem-s3s-hi-ci-fo-hro-sc-sr-esd.html"/>
    <m/>
  </r>
  <r>
    <s v="FOR.HARLEM"/>
    <x v="46"/>
    <s v="FOR.HARLEM-43-42"/>
    <s v="ZAPATO S3S+CI+HI+ FO+HRO+SC+SR +ESD Negro-Rojo 42"/>
    <s v="ZAPATO S3S+CI+HI+ FO+HRO+SC+SR +ESD Negro-Rojo 42. FABRICADO EN MICROFIBRA + MATERIAL ANTIABRASION . PUNTERA DE Fibra de vidrio. PLANTILLA Antiperforación textil. SUELA DE EVA/CAUCHO-NITRILO"/>
    <s v="Zapato S3S+Ci+Hi+ Fo+Hro+Sc+Sr +Esd Negro-Rojo 42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2"/>
    <n v="8457780336911"/>
    <s v="18457780336918"/>
    <s v="https://forli.es/inicio/382-harlem-s3s-hi-ci-fo-hro-sc-sr-esd.html"/>
    <m/>
  </r>
  <r>
    <s v="FOR.HARLEM"/>
    <x v="46"/>
    <s v="FOR.HARLEM-43-43"/>
    <s v="ZAPATO S3S+CI+HI+ FO+HRO+SC+SR +ESD Negro-Rojo 43"/>
    <s v="ZAPATO S3S+CI+HI+ FO+HRO+SC+SR +ESD Negro-Rojo 43. FABRICADO EN MICROFIBRA + MATERIAL ANTIABRASION . PUNTERA DE Fibra de vidrio. PLANTILLA Antiperforación textil. SUELA DE EVA/CAUCHO-NITRILO"/>
    <s v="Zapato S3S+Ci+Hi+ Fo+Hro+Sc+Sr +Esd Negro-Rojo 43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3"/>
    <n v="8457780336928"/>
    <s v="18457780336925"/>
    <s v="https://forli.es/inicio/382-harlem-s3s-hi-ci-fo-hro-sc-sr-esd.html"/>
    <m/>
  </r>
  <r>
    <s v="FOR.HARLEM"/>
    <x v="46"/>
    <s v="FOR.HARLEM-43-44"/>
    <s v="ZAPATO S3S+CI+HI+ FO+HRO+SC+SR +ESD Negro-Rojo 44"/>
    <s v="ZAPATO S3S+CI+HI+ FO+HRO+SC+SR +ESD Negro-Rojo 44. FABRICADO EN MICROFIBRA + MATERIAL ANTIABRASION . PUNTERA DE Fibra de vidrio. PLANTILLA Antiperforación textil. SUELA DE EVA/CAUCHO-NITRILO"/>
    <s v="Zapato S3S+Ci+Hi+ Fo+Hro+Sc+Sr +Esd Negro-Rojo 44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4"/>
    <n v="8457780336935"/>
    <s v="18457780336932"/>
    <s v="https://forli.es/inicio/382-harlem-s3s-hi-ci-fo-hro-sc-sr-esd.html"/>
    <m/>
  </r>
  <r>
    <s v="FOR.HARLEM"/>
    <x v="46"/>
    <s v="FOR.HARLEM-43-45"/>
    <s v="ZAPATO S3S+CI+HI+ FO+HRO+SC+SR +ESD Negro-Rojo 45"/>
    <s v="ZAPATO S3S+CI+HI+ FO+HRO+SC+SR +ESD Negro-Rojo 45. FABRICADO EN MICROFIBRA + MATERIAL ANTIABRASION . PUNTERA DE Fibra de vidrio. PLANTILLA Antiperforación textil. SUELA DE EVA/CAUCHO-NITRILO"/>
    <s v="Zapato S3S+Ci+Hi+ Fo+Hro+Sc+Sr +Esd Negro-Rojo 45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5"/>
    <n v="8457780336942"/>
    <s v="18457780336949"/>
    <s v="https://forli.es/inicio/382-harlem-s3s-hi-ci-fo-hro-sc-sr-esd.html"/>
    <m/>
  </r>
  <r>
    <s v="FOR.HARLEM"/>
    <x v="46"/>
    <s v="FOR.HARLEM-43-46"/>
    <s v="ZAPATO S3S+CI+HI+ FO+HRO+SC+SR +ESD Negro-Rojo 46"/>
    <s v="ZAPATO S3S+CI+HI+ FO+HRO+SC+SR +ESD Negro-Rojo 46. FABRICADO EN MICROFIBRA + MATERIAL ANTIABRASION . PUNTERA DE Fibra de vidrio. PLANTILLA Antiperforación textil. SUELA DE EVA/CAUCHO-NITRILO"/>
    <s v="Zapato S3S+Ci+Hi+ Fo+Hro+Sc+Sr +Esd Negro-Rojo 46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6"/>
    <n v="8457780336959"/>
    <s v="18457780336956"/>
    <s v="https://forli.es/inicio/382-harlem-s3s-hi-ci-fo-hro-sc-sr-esd.html"/>
    <m/>
  </r>
  <r>
    <s v="FOR.HARLEM"/>
    <x v="46"/>
    <s v="FOR.HARLEM-43-47"/>
    <s v="ZAPATO S3S+CI+HI+ FO+HRO+SC+SR +ESD Negro-Rojo 47"/>
    <s v="ZAPATO S3S+CI+HI+ FO+HRO+SC+SR +ESD Negro-Rojo 47. FABRICADO EN MICROFIBRA + MATERIAL ANTIABRASION . PUNTERA DE Fibra de vidrio. PLANTILLA Antiperforación textil. SUELA DE EVA/CAUCHO-NITRILO"/>
    <s v="Zapato S3S+Ci+Hi+ Fo+Hro+Sc+Sr +Esd Negro-Rojo 47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7"/>
    <n v="8457780336966"/>
    <s v="18457780336963"/>
    <s v="https://forli.es/inicio/382-harlem-s3s-hi-ci-fo-hro-sc-sr-esd.html"/>
    <m/>
  </r>
  <r>
    <s v="FOR.HARLEM"/>
    <x v="46"/>
    <s v="FOR.HARLEM-43-48"/>
    <s v="ZAPATO S3S+CI+HI+ FO+HRO+SC+SR +ESD Negro-Rojo 48"/>
    <s v="ZAPATO S3S+CI+HI+ FO+HRO+SC+SR +ESD Negro-Rojo 48. FABRICADO EN MICROFIBRA + MATERIAL ANTIABRASION . PUNTERA DE Fibra de vidrio. PLANTILLA Antiperforación textil. SUELA DE EVA/CAUCHO-NITRILO"/>
    <s v="Zapato S3S+Ci+Hi+ Fo+Hro+Sc+Sr +Esd Negro-Rojo 48. Fabricado En Microfibra + Material Antiabrasion . Puntera De Fibra De Vidrio. Plantilla Antiperforación Textil. Suela De Eva/Caucho-Nitrilo"/>
    <n v="35.9"/>
    <x v="1"/>
    <x v="0"/>
    <s v="NEGRO / ROJO"/>
    <s v="MICROFIBRA + MATERIAL ANTIABRASION "/>
    <s v="Fibra de vidrio"/>
    <s v="Antiperforación textil"/>
    <s v="EVA/CAUCHO-NITRILO"/>
    <n v="48"/>
    <n v="8457780336973"/>
    <s v="18457780336970"/>
    <s v="https://forli.es/inicio/382-harlem-s3s-hi-ci-fo-hro-sc-sr-esd.html"/>
    <m/>
  </r>
  <r>
    <s v="FOR.OXFORD"/>
    <x v="47"/>
    <s v="FOR.OXFORD-99-35"/>
    <s v="ZAPATO S3S+CI+HI+FO+SC+SR+ESD Negro 35"/>
    <s v="ZAPATO S3S+CI+HI+FO+SC+SR+ESD Negro 35. FABRICADO EN TEXTIL S3. PUNTERA DE Fibra de vidrio. PLANTILLA Antiperforación textil. SUELA DE PU/PU DOBLE DENSIDAD"/>
    <s v="Zapato S3S+Ci+Hi+Fo+Sc+Sr+Esd Negro 35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35"/>
    <n v="8457780336423"/>
    <s v="18457780336420"/>
    <s v="https://forli.es/medium-metal-free/370-11012-OXFORD.html#/27-talla-35/42-color-negro_black"/>
    <m/>
  </r>
  <r>
    <s v="FOR.OXFORD"/>
    <x v="47"/>
    <s v="FOR.OXFORD-99-36"/>
    <s v="ZAPATO S3S+CI+HI+FO+SC+SR+ESD Negro 36"/>
    <s v="ZAPATO S3S+CI+HI+FO+SC+SR+ESD Negro 36. FABRICADO EN TEXTIL S3. PUNTERA DE Fibra de vidrio. PLANTILLA Antiperforación textil. SUELA DE PU/PU DOBLE DENSIDAD"/>
    <s v="Zapato S3S+Ci+Hi+Fo+Sc+Sr+Esd Negro 36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36"/>
    <n v="8457780336430"/>
    <s v="18457780336437"/>
    <s v="https://forli.es/medium-metal-free/370-11012-OXFORD.html#/27-talla-35/42-color-negro_black"/>
    <m/>
  </r>
  <r>
    <s v="FOR.OXFORD"/>
    <x v="47"/>
    <s v="FOR.OXFORD-99-37"/>
    <s v="ZAPATO S3S+CI+HI+FO+SC+SR+ESD Negro 37"/>
    <s v="ZAPATO S3S+CI+HI+FO+SC+SR+ESD Negro 37. FABRICADO EN TEXTIL S3. PUNTERA DE Fibra de vidrio. PLANTILLA Antiperforación textil. SUELA DE PU/PU DOBLE DENSIDAD"/>
    <s v="Zapato S3S+Ci+Hi+Fo+Sc+Sr+Esd Negro 37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37"/>
    <n v="8457780336447"/>
    <s v="18457780336444"/>
    <s v="https://forli.es/medium-metal-free/370-11012-OXFORD.html#/27-talla-35/42-color-negro_black"/>
    <m/>
  </r>
  <r>
    <s v="FOR.OXFORD"/>
    <x v="47"/>
    <s v="FOR.OXFORD-99-38"/>
    <s v="ZAPATO S3S+CI+HI+FO+SC+SR+ESD Negro 38"/>
    <s v="ZAPATO S3S+CI+HI+FO+SC+SR+ESD Negro 38. FABRICADO EN TEXTIL S3. PUNTERA DE Fibra de vidrio. PLANTILLA Antiperforación textil. SUELA DE PU/PU DOBLE DENSIDAD"/>
    <s v="Zapato S3S+Ci+Hi+Fo+Sc+Sr+Esd Negro 38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38"/>
    <n v="8457780336454"/>
    <s v="18457780336451"/>
    <s v="https://forli.es/medium-metal-free/370-11012-OXFORD.html#/27-talla-35/42-color-negro_black"/>
    <m/>
  </r>
  <r>
    <s v="FOR.OXFORD"/>
    <x v="47"/>
    <s v="FOR.OXFORD-99-39"/>
    <s v="ZAPATO S3S+CI+HI+FO+SC+SR+ESD Negro 39"/>
    <s v="ZAPATO S3S+CI+HI+FO+SC+SR+ESD Negro 39. FABRICADO EN TEXTIL S3. PUNTERA DE Fibra de vidrio. PLANTILLA Antiperforación textil. SUELA DE PU/PU DOBLE DENSIDAD"/>
    <s v="Zapato S3S+Ci+Hi+Fo+Sc+Sr+Esd Negro 39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39"/>
    <n v="8457780336461"/>
    <s v="18457780336468"/>
    <s v="https://forli.es/medium-metal-free/370-11012-OXFORD.html#/27-talla-35/42-color-negro_black"/>
    <m/>
  </r>
  <r>
    <s v="FOR.OXFORD"/>
    <x v="47"/>
    <s v="FOR.OXFORD-99-40"/>
    <s v="ZAPATO S3S+CI+HI+FO+SC+SR+ESD Negro 40"/>
    <s v="ZAPATO S3S+CI+HI+FO+SC+SR+ESD Negro 40. FABRICADO EN TEXTIL S3. PUNTERA DE Fibra de vidrio. PLANTILLA Antiperforación textil. SUELA DE PU/PU DOBLE DENSIDAD"/>
    <s v="Zapato S3S+Ci+Hi+Fo+Sc+Sr+Esd Negro 40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0"/>
    <n v="8457780336478"/>
    <s v="18457780336475"/>
    <s v="https://forli.es/medium-metal-free/370-11012-OXFORD.html#/27-talla-35/42-color-negro_black"/>
    <m/>
  </r>
  <r>
    <s v="FOR.OXFORD"/>
    <x v="47"/>
    <s v="FOR.OXFORD-99-41"/>
    <s v="ZAPATO S3S+CI+HI+FO+SC+SR+ESD Negro 41"/>
    <s v="ZAPATO S3S+CI+HI+FO+SC+SR+ESD Negro 41. FABRICADO EN TEXTIL S3. PUNTERA DE Fibra de vidrio. PLANTILLA Antiperforación textil. SUELA DE PU/PU DOBLE DENSIDAD"/>
    <s v="Zapato S3S+Ci+Hi+Fo+Sc+Sr+Esd Negro 41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1"/>
    <n v="8457780336485"/>
    <s v="18457780336482"/>
    <s v="https://forli.es/medium-metal-free/370-11012-OXFORD.html#/27-talla-35/42-color-negro_black"/>
    <m/>
  </r>
  <r>
    <s v="FOR.OXFORD"/>
    <x v="47"/>
    <s v="FOR.OXFORD-99-42"/>
    <s v="ZAPATO S3S+CI+HI+FO+SC+SR+ESD Negro 42"/>
    <s v="ZAPATO S3S+CI+HI+FO+SC+SR+ESD Negro 42. FABRICADO EN TEXTIL S3. PUNTERA DE Fibra de vidrio. PLANTILLA Antiperforación textil. SUELA DE PU/PU DOBLE DENSIDAD"/>
    <s v="Zapato S3S+Ci+Hi+Fo+Sc+Sr+Esd Negro 42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2"/>
    <n v="8457780336492"/>
    <s v="18457780336499"/>
    <s v="https://forli.es/medium-metal-free/370-11012-OXFORD.html#/27-talla-35/42-color-negro_black"/>
    <m/>
  </r>
  <r>
    <s v="FOR.OXFORD"/>
    <x v="47"/>
    <s v="FOR.OXFORD-99-43"/>
    <s v="ZAPATO S3S+CI+HI+FO+SC+SR+ESD Negro 43"/>
    <s v="ZAPATO S3S+CI+HI+FO+SC+SR+ESD Negro 43. FABRICADO EN TEXTIL S3. PUNTERA DE Fibra de vidrio. PLANTILLA Antiperforación textil. SUELA DE PU/PU DOBLE DENSIDAD"/>
    <s v="Zapato S3S+Ci+Hi+Fo+Sc+Sr+Esd Negro 43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3"/>
    <n v="8457780336508"/>
    <s v="18457780336505"/>
    <s v="https://forli.es/medium-metal-free/370-11012-OXFORD.html#/27-talla-35/42-color-negro_black"/>
    <m/>
  </r>
  <r>
    <s v="FOR.OXFORD"/>
    <x v="47"/>
    <s v="FOR.OXFORD-99-44"/>
    <s v="ZAPATO S3S+CI+HI+FO+SC+SR+ESD Negro 44"/>
    <s v="ZAPATO S3S+CI+HI+FO+SC+SR+ESD Negro 44. FABRICADO EN TEXTIL S3. PUNTERA DE Fibra de vidrio. PLANTILLA Antiperforación textil. SUELA DE PU/PU DOBLE DENSIDAD"/>
    <s v="Zapato S3S+Ci+Hi+Fo+Sc+Sr+Esd Negro 44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4"/>
    <n v="8457780336515"/>
    <s v="18457780336512"/>
    <s v="https://forli.es/medium-metal-free/370-11012-OXFORD.html#/27-talla-35/42-color-negro_black"/>
    <m/>
  </r>
  <r>
    <s v="FOR.OXFORD"/>
    <x v="47"/>
    <s v="FOR.OXFORD-99-45"/>
    <s v="ZAPATO S3S+CI+HI+FO+SC+SR+ESD Negro 45"/>
    <s v="ZAPATO S3S+CI+HI+FO+SC+SR+ESD Negro 45. FABRICADO EN TEXTIL S3. PUNTERA DE Fibra de vidrio. PLANTILLA Antiperforación textil. SUELA DE PU/PU DOBLE DENSIDAD"/>
    <s v="Zapato S3S+Ci+Hi+Fo+Sc+Sr+Esd Negro 45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5"/>
    <n v="8457780336522"/>
    <s v="18457780336529"/>
    <s v="https://forli.es/medium-metal-free/370-11012-OXFORD.html#/27-talla-35/42-color-negro_black"/>
    <m/>
  </r>
  <r>
    <s v="FOR.OXFORD"/>
    <x v="47"/>
    <s v="FOR.OXFORD-99-46"/>
    <s v="ZAPATO S3S+CI+HI+FO+SC+SR+ESD Negro 46"/>
    <s v="ZAPATO S3S+CI+HI+FO+SC+SR+ESD Negro 46. FABRICADO EN TEXTIL S3. PUNTERA DE Fibra de vidrio. PLANTILLA Antiperforación textil. SUELA DE PU/PU DOBLE DENSIDAD"/>
    <s v="Zapato S3S+Ci+Hi+Fo+Sc+Sr+Esd Negro 46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6"/>
    <n v="8457780336539"/>
    <s v="18457780336536"/>
    <s v="https://forli.es/medium-metal-free/370-11012-OXFORD.html#/27-talla-35/42-color-negro_black"/>
    <m/>
  </r>
  <r>
    <s v="FOR.OXFORD"/>
    <x v="47"/>
    <s v="FOR.OXFORD-99-47"/>
    <s v="ZAPATO S3S+CI+HI+FO+SC+SR+ESD Negro 47"/>
    <s v="ZAPATO S3S+CI+HI+FO+SC+SR+ESD Negro 47. FABRICADO EN TEXTIL S3. PUNTERA DE Fibra de vidrio. PLANTILLA Antiperforación textil. SUELA DE PU/PU DOBLE DENSIDAD"/>
    <s v="Zapato S3S+Ci+Hi+Fo+Sc+Sr+Esd Negro 47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7"/>
    <n v="8457780336546"/>
    <s v="18457780336543"/>
    <s v="https://forli.es/medium-metal-free/370-11012-OXFORD.html#/27-talla-35/42-color-negro_black"/>
    <m/>
  </r>
  <r>
    <s v="FOR.OXFORD"/>
    <x v="47"/>
    <s v="FOR.OXFORD-99-48"/>
    <s v="ZAPATO S3S+CI+HI+FO+SC+SR+ESD Negro 48"/>
    <s v="ZAPATO S3S+CI+HI+FO+SC+SR+ESD Negro 48. FABRICADO EN TEXTIL S3. PUNTERA DE Fibra de vidrio. PLANTILLA Antiperforación textil. SUELA DE PU/PU DOBLE DENSIDAD"/>
    <s v="Zapato S3S+Ci+Hi+Fo+Sc+Sr+Esd Negro 48. Fabricado En Textil S3. Puntera De Fibra De Vidrio. Plantilla Antiperforación Textil. Suela De Pu/Pu Doble Densidad"/>
    <n v="19"/>
    <x v="1"/>
    <x v="0"/>
    <s v="NEGRO"/>
    <s v="TEXTIL S3"/>
    <s v="Fibra de vidrio"/>
    <s v="Antiperforación textil"/>
    <s v="PU/PU DOBLE DENSIDAD"/>
    <n v="48"/>
    <n v="8457780336553"/>
    <s v="18457780336550"/>
    <s v="https://forli.es/medium-metal-free/370-11012-OXFORD.html#/27-talla-35/42-color-negro_black"/>
    <m/>
  </r>
  <r>
    <s v="FOR.LOGAN"/>
    <x v="48"/>
    <s v="FOR.LOGAN-9943-48"/>
    <s v="ZAPATO SBPS E FO CI HI WPA WR HRO LG SC SR   Negro/Rojo 48"/>
    <s v="ZAPATO SBPS E FO CI HI WPA WR HRO LG SC SR   Negro/Rojo 48. FABRICADO EN POLIAMIDA + MICROFIBRA. PUNTERA DE Fibra de vidrio. PLANTILLA Antiperforación textil. SUELA DE PU/CAUCHO NITRILO"/>
    <s v="Zapato Sbps E Fo Ci Hi Wpa Wr Hro Lg Sc Sr   Negro/Rojo 48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8"/>
    <n v="8457780348693"/>
    <n v="18457780348690"/>
    <s v="https://forli.es/calzado-de-seguridad-ocupacional/418-ALASKA.html"/>
    <m/>
  </r>
  <r>
    <s v="FOR.LOGAN"/>
    <x v="48"/>
    <s v="FOR.LOGAN-9943-36"/>
    <s v="ZAPATO SBPS E FO CI HI WPA WR HRO LG SC SR  Negro/Rojo 36"/>
    <s v="ZAPATO SBPS E FO CI HI WPA WR HRO LG SC SR  Negro/Rojo 36. FABRICADO EN POLIAMIDA + MICROFIBRA. PUNTERA DE Fibra de vidrio. PLANTILLA Antiperforación textil. SUELA DE PU/CAUCHO NITRILO"/>
    <s v="Zapato Sbps E Fo Ci Hi Wpa Wr Hro Lg Sc Sr  Negro/Rojo 36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36"/>
    <n v="8457780348570"/>
    <n v="18457780348577"/>
    <s v="https://forli.es/calzado-de-seguridad-ocupacional/418-ALASKA.html"/>
    <m/>
  </r>
  <r>
    <s v="FOR.LOGAN"/>
    <x v="48"/>
    <s v="FOR.LOGAN-9943-37"/>
    <s v="ZAPATO SBPS E FO CI HI WPA WR HRO LG SC SR  Negro/Rojo 37"/>
    <s v="ZAPATO SBPS E FO CI HI WPA WR HRO LG SC SR  Negro/Rojo 37. FABRICADO EN POLIAMIDA + MICROFIBRA. PUNTERA DE Fibra de vidrio. PLANTILLA Antiperforación textil. SUELA DE PU/CAUCHO NITRILO"/>
    <s v="Zapato Sbps E Fo Ci Hi Wpa Wr Hro Lg Sc Sr  Negro/Rojo 37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37"/>
    <n v="8457780348587"/>
    <n v="18457780348584"/>
    <s v="https://forli.es/calzado-de-seguridad-ocupacional/418-ALASKA.html"/>
    <m/>
  </r>
  <r>
    <s v="FOR.LOGAN"/>
    <x v="48"/>
    <s v="FOR.LOGAN-9943-38"/>
    <s v="ZAPATO SBPS E FO CI HI WPA WR HRO LG SC SR  Negro/Rojo 38"/>
    <s v="ZAPATO SBPS E FO CI HI WPA WR HRO LG SC SR  Negro/Rojo 38. FABRICADO EN POLIAMIDA + MICROFIBRA. PUNTERA DE Fibra de vidrio. PLANTILLA Antiperforación textil. SUELA DE PU/CAUCHO NITRILO"/>
    <s v="Zapato Sbps E Fo Ci Hi Wpa Wr Hro Lg Sc Sr  Negro/Rojo 38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38"/>
    <n v="8457780348594"/>
    <n v="18457780348591"/>
    <s v="https://forli.es/calzado-de-seguridad-ocupacional/418-ALASKA.html"/>
    <m/>
  </r>
  <r>
    <s v="FOR.LOGAN"/>
    <x v="48"/>
    <s v="FOR.LOGAN-9943-39"/>
    <s v="ZAPATO SBPS E FO CI HI WPA WR HRO LG SC SR  Negro/Rojo 39"/>
    <s v="ZAPATO SBPS E FO CI HI WPA WR HRO LG SC SR  Negro/Rojo 39. FABRICADO EN POLIAMIDA + MICROFIBRA. PUNTERA DE Fibra de vidrio. PLANTILLA Antiperforación textil. SUELA DE PU/CAUCHO NITRILO"/>
    <s v="Zapato Sbps E Fo Ci Hi Wpa Wr Hro Lg Sc Sr  Negro/Rojo 39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39"/>
    <n v="8457780348600"/>
    <n v="18457780348607"/>
    <s v="https://forli.es/calzado-de-seguridad-ocupacional/418-ALASKA.html"/>
    <m/>
  </r>
  <r>
    <s v="FOR.LOGAN"/>
    <x v="48"/>
    <s v="FOR.LOGAN-9943-40"/>
    <s v="ZAPATO SBPS E FO CI HI WPA WR HRO LG SC SR  Negro/Rojo 40"/>
    <s v="ZAPATO SBPS E FO CI HI WPA WR HRO LG SC SR  Negro/Rojo 40. FABRICADO EN POLIAMIDA + MICROFIBRA. PUNTERA DE Fibra de vidrio. PLANTILLA Antiperforación textil. SUELA DE PU/CAUCHO NITRILO"/>
    <s v="Zapato Sbps E Fo Ci Hi Wpa Wr Hro Lg Sc Sr  Negro/Rojo 40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0"/>
    <n v="8457780348617"/>
    <n v="18457780348614"/>
    <s v="https://forli.es/calzado-de-seguridad-ocupacional/418-ALASKA.html"/>
    <m/>
  </r>
  <r>
    <s v="FOR.LOGAN"/>
    <x v="48"/>
    <s v="FOR.LOGAN-9943-41"/>
    <s v="ZAPATO SBPS E FO CI HI WPA WR HRO LG SC SR  Negro/Rojo 41"/>
    <s v="ZAPATO SBPS E FO CI HI WPA WR HRO LG SC SR  Negro/Rojo 41. FABRICADO EN POLIAMIDA + MICROFIBRA. PUNTERA DE Fibra de vidrio. PLANTILLA Antiperforación textil. SUELA DE PU/CAUCHO NITRILO"/>
    <s v="Zapato Sbps E Fo Ci Hi Wpa Wr Hro Lg Sc Sr  Negro/Rojo 41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1"/>
    <n v="8457780348624"/>
    <n v="18457780348621"/>
    <s v="https://forli.es/calzado-de-seguridad-ocupacional/418-ALASKA.html"/>
    <m/>
  </r>
  <r>
    <s v="FOR.LOGAN"/>
    <x v="48"/>
    <s v="FOR.LOGAN-9943-42"/>
    <s v="ZAPATO SBPS E FO CI HI WPA WR HRO LG SC SR  Negro/Rojo 42"/>
    <s v="ZAPATO SBPS E FO CI HI WPA WR HRO LG SC SR  Negro/Rojo 42. FABRICADO EN POLIAMIDA + MICROFIBRA. PUNTERA DE Fibra de vidrio. PLANTILLA Antiperforación textil. SUELA DE PU/CAUCHO NITRILO"/>
    <s v="Zapato Sbps E Fo Ci Hi Wpa Wr Hro Lg Sc Sr  Negro/Rojo 42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2"/>
    <n v="8457780348631"/>
    <n v="18457780348638"/>
    <s v="https://forli.es/calzado-de-seguridad-ocupacional/418-ALASKA.html"/>
    <m/>
  </r>
  <r>
    <s v="FOR.LOGAN"/>
    <x v="48"/>
    <s v="FOR.LOGAN-9943-43"/>
    <s v="ZAPATO SBPS E FO CI HI WPA WR HRO LG SC SR  Negro/Rojo 43"/>
    <s v="ZAPATO SBPS E FO CI HI WPA WR HRO LG SC SR  Negro/Rojo 43. FABRICADO EN POLIAMIDA + MICROFIBRA. PUNTERA DE Fibra de vidrio. PLANTILLA Antiperforación textil. SUELA DE PU/CAUCHO NITRILO"/>
    <s v="Zapato Sbps E Fo Ci Hi Wpa Wr Hro Lg Sc Sr  Negro/Rojo 43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3"/>
    <n v="8457780348648"/>
    <n v="18457780348645"/>
    <s v="https://forli.es/calzado-de-seguridad-ocupacional/418-ALASKA.html"/>
    <m/>
  </r>
  <r>
    <s v="FOR.LOGAN"/>
    <x v="48"/>
    <s v="FOR.LOGAN-9943-44"/>
    <s v="ZAPATO SBPS E FO CI HI WPA WR HRO LG SC SR  Negro/Rojo 44"/>
    <s v="ZAPATO SBPS E FO CI HI WPA WR HRO LG SC SR  Negro/Rojo 44. FABRICADO EN POLIAMIDA + MICROFIBRA. PUNTERA DE Fibra de vidrio. PLANTILLA Antiperforación textil. SUELA DE PU/CAUCHO NITRILO"/>
    <s v="Zapato Sbps E Fo Ci Hi Wpa Wr Hro Lg Sc Sr  Negro/Rojo 44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4"/>
    <n v="8457780348655"/>
    <n v="18457780348652"/>
    <s v="https://forli.es/calzado-de-seguridad-ocupacional/418-ALASKA.html"/>
    <m/>
  </r>
  <r>
    <s v="FOR.LOGAN"/>
    <x v="48"/>
    <s v="FOR.LOGAN-9943-46"/>
    <s v="ZAPATO SBPS E FO CI HI WPA WR HRO LG SC SR  Negro/Rojo 46"/>
    <s v="ZAPATO SBPS E FO CI HI WPA WR HRO LG SC SR  Negro/Rojo 46. FABRICADO EN POLIAMIDA + MICROFIBRA. PUNTERA DE Fibra de vidrio. PLANTILLA Antiperforación textil. SUELA DE PU/CAUCHO NITRILO"/>
    <s v="Zapato Sbps E Fo Ci Hi Wpa Wr Hro Lg Sc Sr  Negro/Rojo 46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6"/>
    <n v="8457780348679"/>
    <n v="18457780348676"/>
    <s v="https://forli.es/calzado-de-seguridad-ocupacional/418-ALASKA.html"/>
    <m/>
  </r>
  <r>
    <s v="FOR.LOGAN"/>
    <x v="48"/>
    <s v="FOR.LOGAN-9943-47"/>
    <s v="ZAPATO SBPS E FO CI HI WPA WR HRO LG SC SR  Negro/Rojo 47"/>
    <s v="ZAPATO SBPS E FO CI HI WPA WR HRO LG SC SR  Negro/Rojo 47. FABRICADO EN POLIAMIDA + MICROFIBRA. PUNTERA DE Fibra de vidrio. PLANTILLA Antiperforación textil. SUELA DE PU/CAUCHO NITRILO"/>
    <s v="Zapato Sbps E Fo Ci Hi Wpa Wr Hro Lg Sc Sr  Negro/Rojo 47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7"/>
    <n v="8457780348686"/>
    <n v="18457780348683"/>
    <s v="https://forli.es/calzado-de-seguridad-ocupacional/418-ALASKA.html"/>
    <m/>
  </r>
  <r>
    <s v="FOR.LOGAN"/>
    <x v="48"/>
    <s v="FOR.LOGAN-9943-35"/>
    <s v="ZAPATO SBPS E FO CI HI WPA WR HRO LG SC SR Negro/Rojo 35"/>
    <s v="ZAPATO SBPS E FO CI HI WPA WR HRO LG SC SR Negro/Rojo 35. FABRICADO EN POLIAMIDA + MICROFIBRA. PUNTERA DE Fibra de vidrio. PLANTILLA Antiperforación textil. SUELA DE PU/CAUCHO NITRILO"/>
    <s v="Zapato Sbps E Fo Ci Hi Wpa Wr Hro Lg Sc Sr Negro/Rojo 35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35"/>
    <n v="8457780348563"/>
    <n v="18457780348560"/>
    <s v="https://forli.es/calzado-de-seguridad-ocupacional/418-ALASKA.html"/>
    <m/>
  </r>
  <r>
    <s v="FOR.LOGAN"/>
    <x v="48"/>
    <s v="FOR.LOGAN-9943-45"/>
    <s v="ZAPATO SBPS E FO CI HI WPA WR HRO LG SC SR Negro/Rojo 45"/>
    <s v="ZAPATO SBPS E FO CI HI WPA WR HRO LG SC SR Negro/Rojo 45. FABRICADO EN POLIAMIDA + MICROFIBRA. PUNTERA DE Fibra de vidrio. PLANTILLA Antiperforación textil. SUELA DE PU/CAUCHO NITRILO"/>
    <s v="Zapato Sbps E Fo Ci Hi Wpa Wr Hro Lg Sc Sr Negro/Rojo 45. Fabricado En Poliamida + Microfibra. Puntera De Fibra De Vidrio. Plantilla Antiperforación Textil. Suela De Pu/Caucho Nitrilo"/>
    <n v="39"/>
    <x v="1"/>
    <x v="0"/>
    <s v="NEGRO/ROJO"/>
    <s v="POLIAMIDA + MICROFIBRA"/>
    <s v="Fibra de vidrio"/>
    <s v="Antiperforación textil"/>
    <s v="PU/CAUCHO NITRILO"/>
    <n v="45"/>
    <n v="8457780348662"/>
    <n v="18457780348669"/>
    <s v="https://forli.es/calzado-de-seguridad-ocupacional/418-ALASKA.html"/>
    <m/>
  </r>
  <r>
    <s v="FOR.KANSAS"/>
    <x v="49"/>
    <s v="FOR.KANSAS-94-35"/>
    <s v="ZAPATO SERRAJE S1+P+CI+HI+SR METALICO Gris 35"/>
    <s v="ZAPATO SERRAJE S1+P+CI+HI+SR METALICO Gris 35. FABRICADO EN PIEL SERRAJE. PUNTERA DE Acero. PLANTILLA Acero. SUELA DE PU/PU DOBLE DENSIDAD"/>
    <s v="Zapato Serraje S1+P+Ci+Hi+Sr Metalico Gris 35. Fabricado En Piel Serraje. Puntera De Acero. Plantilla Acero. Suela De Pu/Pu Doble Densidad"/>
    <n v="10.9"/>
    <x v="1"/>
    <x v="0"/>
    <s v="GRIS"/>
    <s v="PIEL SERRAJE"/>
    <s v="Acero"/>
    <s v="Acero"/>
    <s v="PU/PU DOBLE DENSIDAD"/>
    <n v="35"/>
    <n v="8457780305566"/>
    <s v="18457780305563"/>
    <s v="https://forli.es/basic-steel/278-2301-KANSAS.html#/27-talla-35/41-color-gris"/>
    <s v="https://forli.es/index.php?controller=attachment&amp;id_attachment=130"/>
  </r>
  <r>
    <s v="FOR.KANSAS"/>
    <x v="49"/>
    <s v="FOR.KANSAS-94-36"/>
    <s v="ZAPATO SERRAJE S1+P+CI+HI+SR METALICO Gris 36"/>
    <s v="ZAPATO SERRAJE S1+P+CI+HI+SR METALICO Gris 36. FABRICADO EN PIEL SERRAJE. PUNTERA DE Acero. PLANTILLA Acero. SUELA DE PU/PU DOBLE DENSIDAD"/>
    <s v="Zapato Serraje S1+P+Ci+Hi+Sr Metalico Gris 36. Fabricado En Piel Serraje. Puntera De Acero. Plantilla Acero. Suela De Pu/Pu Doble Densidad"/>
    <n v="10.9"/>
    <x v="1"/>
    <x v="0"/>
    <s v="GRIS"/>
    <s v="PIEL SERRAJE"/>
    <s v="Acero"/>
    <s v="Acero"/>
    <s v="PU/PU DOBLE DENSIDAD"/>
    <n v="36"/>
    <n v="8457780305573"/>
    <s v="18457780305570"/>
    <s v="https://forli.es/basic-steel/278-2301-KANSAS.html#/27-talla-35/41-color-gris"/>
    <s v="https://forli.es/index.php?controller=attachment&amp;id_attachment=130"/>
  </r>
  <r>
    <s v="FOR.KANSAS"/>
    <x v="49"/>
    <s v="FOR.KANSAS-94-37"/>
    <s v="ZAPATO SERRAJE S1+P+CI+HI+SR METALICO Gris 37"/>
    <s v="ZAPATO SERRAJE S1+P+CI+HI+SR METALICO Gris 37. FABRICADO EN PIEL SERRAJE. PUNTERA DE Acero. PLANTILLA Acero. SUELA DE PU/PU DOBLE DENSIDAD"/>
    <s v="Zapato Serraje S1+P+Ci+Hi+Sr Metalico Gris 37. Fabricado En Piel Serraje. Puntera De Acero. Plantilla Acero. Suela De Pu/Pu Doble Densidad"/>
    <n v="10.9"/>
    <x v="1"/>
    <x v="0"/>
    <s v="GRIS"/>
    <s v="PIEL SERRAJE"/>
    <s v="Acero"/>
    <s v="Acero"/>
    <s v="PU/PU DOBLE DENSIDAD"/>
    <n v="37"/>
    <n v="8457780305580"/>
    <s v="18457780305587"/>
    <s v="https://forli.es/basic-steel/278-2301-KANSAS.html#/27-talla-35/41-color-gris"/>
    <s v="https://forli.es/index.php?controller=attachment&amp;id_attachment=130"/>
  </r>
  <r>
    <s v="FOR.KANSAS"/>
    <x v="49"/>
    <s v="FOR.KANSAS-94-38"/>
    <s v="ZAPATO SERRAJE S1+P+CI+HI+SR METALICO Gris 38"/>
    <s v="ZAPATO SERRAJE S1+P+CI+HI+SR METALICO Gris 38. FABRICADO EN PIEL SERRAJE. PUNTERA DE Acero. PLANTILLA Acero. SUELA DE PU/PU DOBLE DENSIDAD"/>
    <s v="Zapato Serraje S1+P+Ci+Hi+Sr Metalico Gris 38. Fabricado En Piel Serraje. Puntera De Acero. Plantilla Acero. Suela De Pu/Pu Doble Densidad"/>
    <n v="10.9"/>
    <x v="1"/>
    <x v="0"/>
    <s v="GRIS"/>
    <s v="PIEL SERRAJE"/>
    <s v="Acero"/>
    <s v="Acero"/>
    <s v="PU/PU DOBLE DENSIDAD"/>
    <n v="38"/>
    <n v="8457780305597"/>
    <s v="18457780305594"/>
    <s v="https://forli.es/basic-steel/278-2301-KANSAS.html#/27-talla-35/41-color-gris"/>
    <s v="https://forli.es/index.php?controller=attachment&amp;id_attachment=130"/>
  </r>
  <r>
    <s v="FOR.KANSAS"/>
    <x v="49"/>
    <s v="FOR.KANSAS-94-39"/>
    <s v="ZAPATO SERRAJE S1+P+CI+HI+SR METALICO Gris 39"/>
    <s v="ZAPATO SERRAJE S1+P+CI+HI+SR METALICO Gris 39. FABRICADO EN PIEL SERRAJE. PUNTERA DE Acero. PLANTILLA Acero. SUELA DE PU/PU DOBLE DENSIDAD"/>
    <s v="Zapato Serraje S1+P+Ci+Hi+Sr Metalico Gris 39. Fabricado En Piel Serraje. Puntera De Acero. Plantilla Acero. Suela De Pu/Pu Doble Densidad"/>
    <n v="10.9"/>
    <x v="1"/>
    <x v="0"/>
    <s v="GRIS"/>
    <s v="PIEL SERRAJE"/>
    <s v="Acero"/>
    <s v="Acero"/>
    <s v="PU/PU DOBLE DENSIDAD"/>
    <n v="39"/>
    <n v="8457780305603"/>
    <s v="18457780305600"/>
    <s v="https://forli.es/basic-steel/278-2301-KANSAS.html#/27-talla-35/41-color-gris"/>
    <s v="https://forli.es/index.php?controller=attachment&amp;id_attachment=130"/>
  </r>
  <r>
    <s v="FOR.KANSAS"/>
    <x v="49"/>
    <s v="FOR.KANSAS-94-40"/>
    <s v="ZAPATO SERRAJE S1+P+CI+HI+SR METALICO Gris 40"/>
    <s v="ZAPATO SERRAJE S1+P+CI+HI+SR METALICO Gris 40. FABRICADO EN PIEL SERRAJE. PUNTERA DE Acero. PLANTILLA Acero. SUELA DE PU/PU DOBLE DENSIDAD"/>
    <s v="Zapato Serraje S1+P+Ci+Hi+Sr Metalico Gris 40. Fabricado En Piel Serraje. Puntera De Acero. Plantilla Acero. Suela De Pu/Pu Doble Densidad"/>
    <n v="10.9"/>
    <x v="1"/>
    <x v="0"/>
    <s v="GRIS"/>
    <s v="PIEL SERRAJE"/>
    <s v="Acero"/>
    <s v="Acero"/>
    <s v="PU/PU DOBLE DENSIDAD"/>
    <n v="40"/>
    <n v="8457780305610"/>
    <s v="18457780305617"/>
    <s v="https://forli.es/basic-steel/278-2301-KANSAS.html#/27-talla-35/41-color-gris"/>
    <s v="https://forli.es/index.php?controller=attachment&amp;id_attachment=130"/>
  </r>
  <r>
    <s v="FOR.KANSAS"/>
    <x v="49"/>
    <s v="FOR.KANSAS-94-41"/>
    <s v="ZAPATO SERRAJE S1+P+CI+HI+SR METALICO Gris 41"/>
    <s v="ZAPATO SERRAJE S1+P+CI+HI+SR METALICO Gris 41. FABRICADO EN PIEL SERRAJE. PUNTERA DE Acero. PLANTILLA Acero. SUELA DE PU/PU DOBLE DENSIDAD"/>
    <s v="Zapato Serraje S1+P+Ci+Hi+Sr Metalico Gris 41. Fabricado En Piel Serraje. Puntera De Acero. Plantilla Acero. Suela De Pu/Pu Doble Densidad"/>
    <n v="10.9"/>
    <x v="1"/>
    <x v="0"/>
    <s v="GRIS"/>
    <s v="PIEL SERRAJE"/>
    <s v="Acero"/>
    <s v="Acero"/>
    <s v="PU/PU DOBLE DENSIDAD"/>
    <n v="41"/>
    <n v="8457780305627"/>
    <s v="18457780305624"/>
    <s v="https://forli.es/basic-steel/278-2301-KANSAS.html#/27-talla-35/41-color-gris"/>
    <s v="https://forli.es/index.php?controller=attachment&amp;id_attachment=130"/>
  </r>
  <r>
    <s v="FOR.KANSAS"/>
    <x v="49"/>
    <s v="FOR.KANSAS-94-42"/>
    <s v="ZAPATO SERRAJE S1+P+CI+HI+SR METALICO Gris 42"/>
    <s v="ZAPATO SERRAJE S1+P+CI+HI+SR METALICO Gris 42. FABRICADO EN PIEL SERRAJE. PUNTERA DE Acero. PLANTILLA Acero. SUELA DE PU/PU DOBLE DENSIDAD"/>
    <s v="Zapato Serraje S1+P+Ci+Hi+Sr Metalico Gris 42. Fabricado En Piel Serraje. Puntera De Acero. Plantilla Acero. Suela De Pu/Pu Doble Densidad"/>
    <n v="10.9"/>
    <x v="1"/>
    <x v="0"/>
    <s v="GRIS"/>
    <s v="PIEL SERRAJE"/>
    <s v="Acero"/>
    <s v="Acero"/>
    <s v="PU/PU DOBLE DENSIDAD"/>
    <n v="42"/>
    <n v="8457780305634"/>
    <s v="18457780305631"/>
    <s v="https://forli.es/basic-steel/278-2301-KANSAS.html#/27-talla-35/41-color-gris"/>
    <s v="https://forli.es/index.php?controller=attachment&amp;id_attachment=130"/>
  </r>
  <r>
    <s v="FOR.KANSAS"/>
    <x v="49"/>
    <s v="FOR.KANSAS-94-43"/>
    <s v="ZAPATO SERRAJE S1+P+CI+HI+SR METALICO Gris 43"/>
    <s v="ZAPATO SERRAJE S1+P+CI+HI+SR METALICO Gris 43. FABRICADO EN PIEL SERRAJE. PUNTERA DE Acero. PLANTILLA Acero. SUELA DE PU/PU DOBLE DENSIDAD"/>
    <s v="Zapato Serraje S1+P+Ci+Hi+Sr Metalico Gris 43. Fabricado En Piel Serraje. Puntera De Acero. Plantilla Acero. Suela De Pu/Pu Doble Densidad"/>
    <n v="10.9"/>
    <x v="1"/>
    <x v="0"/>
    <s v="GRIS"/>
    <s v="PIEL SERRAJE"/>
    <s v="Acero"/>
    <s v="Acero"/>
    <s v="PU/PU DOBLE DENSIDAD"/>
    <n v="43"/>
    <n v="8457780305641"/>
    <s v="18457780305648"/>
    <s v="https://forli.es/basic-steel/278-2301-KANSAS.html#/27-talla-35/41-color-gris"/>
    <s v="https://forli.es/index.php?controller=attachment&amp;id_attachment=130"/>
  </r>
  <r>
    <s v="FOR.KANSAS"/>
    <x v="49"/>
    <s v="FOR.KANSAS-94-44"/>
    <s v="ZAPATO SERRAJE S1+P+CI+HI+SR METALICO Gris 44"/>
    <s v="ZAPATO SERRAJE S1+P+CI+HI+SR METALICO Gris 44. FABRICADO EN PIEL SERRAJE. PUNTERA DE Acero. PLANTILLA Acero. SUELA DE PU/PU DOBLE DENSIDAD"/>
    <s v="Zapato Serraje S1+P+Ci+Hi+Sr Metalico Gris 44. Fabricado En Piel Serraje. Puntera De Acero. Plantilla Acero. Suela De Pu/Pu Doble Densidad"/>
    <n v="10.9"/>
    <x v="1"/>
    <x v="0"/>
    <s v="GRIS"/>
    <s v="PIEL SERRAJE"/>
    <s v="Acero"/>
    <s v="Acero"/>
    <s v="PU/PU DOBLE DENSIDAD"/>
    <n v="44"/>
    <n v="8457780305658"/>
    <s v="18457780305655"/>
    <s v="https://forli.es/basic-steel/278-2301-KANSAS.html#/27-talla-35/41-color-gris"/>
    <s v="https://forli.es/index.php?controller=attachment&amp;id_attachment=130"/>
  </r>
  <r>
    <s v="FOR.KANSAS"/>
    <x v="49"/>
    <s v="FOR.KANSAS-94-45"/>
    <s v="ZAPATO SERRAJE S1+P+CI+HI+SR METALICO Gris 45"/>
    <s v="ZAPATO SERRAJE S1+P+CI+HI+SR METALICO Gris 45. FABRICADO EN PIEL SERRAJE. PUNTERA DE Acero. PLANTILLA Acero. SUELA DE PU/PU DOBLE DENSIDAD"/>
    <s v="Zapato Serraje S1+P+Ci+Hi+Sr Metalico Gris 45. Fabricado En Piel Serraje. Puntera De Acero. Plantilla Acero. Suela De Pu/Pu Doble Densidad"/>
    <n v="10.9"/>
    <x v="1"/>
    <x v="0"/>
    <s v="GRIS"/>
    <s v="PIEL SERRAJE"/>
    <s v="Acero"/>
    <s v="Acero"/>
    <s v="PU/PU DOBLE DENSIDAD"/>
    <n v="45"/>
    <n v="8457780305665"/>
    <s v="18457780305662"/>
    <s v="https://forli.es/basic-steel/278-2301-KANSAS.html#/27-talla-35/41-color-gris"/>
    <s v="https://forli.es/index.php?controller=attachment&amp;id_attachment=130"/>
  </r>
  <r>
    <s v="FOR.KANSAS"/>
    <x v="49"/>
    <s v="FOR.KANSAS-94-46"/>
    <s v="ZAPATO SERRAJE S1+P+CI+HI+SR METALICO Gris 46"/>
    <s v="ZAPATO SERRAJE S1+P+CI+HI+SR METALICO Gris 46. FABRICADO EN PIEL SERRAJE. PUNTERA DE Acero. PLANTILLA Acero. SUELA DE PU/PU DOBLE DENSIDAD"/>
    <s v="Zapato Serraje S1+P+Ci+Hi+Sr Metalico Gris 46. Fabricado En Piel Serraje. Puntera De Acero. Plantilla Acero. Suela De Pu/Pu Doble Densidad"/>
    <n v="10.9"/>
    <x v="1"/>
    <x v="0"/>
    <s v="GRIS"/>
    <s v="PIEL SERRAJE"/>
    <s v="Acero"/>
    <s v="Acero"/>
    <s v="PU/PU DOBLE DENSIDAD"/>
    <n v="46"/>
    <n v="8457780305672"/>
    <s v="18457780305679"/>
    <s v="https://forli.es/basic-steel/278-2301-KANSAS.html#/27-talla-35/41-color-gris"/>
    <s v="https://forli.es/index.php?controller=attachment&amp;id_attachment=130"/>
  </r>
  <r>
    <s v="FOR.KANSAS"/>
    <x v="49"/>
    <s v="FOR.KANSAS-94-47"/>
    <s v="ZAPATO SERRAJE S1+P+CI+HI+SR METALICO Gris 47"/>
    <s v="ZAPATO SERRAJE S1+P+CI+HI+SR METALICO Gris 47. FABRICADO EN PIEL SERRAJE. PUNTERA DE Acero. PLANTILLA Acero. SUELA DE PU/PU DOBLE DENSIDAD"/>
    <s v="Zapato Serraje S1+P+Ci+Hi+Sr Metalico Gris 47. Fabricado En Piel Serraje. Puntera De Acero. Plantilla Acero. Suela De Pu/Pu Doble Densidad"/>
    <n v="10.9"/>
    <x v="1"/>
    <x v="0"/>
    <s v="GRIS"/>
    <s v="PIEL SERRAJE"/>
    <s v="Acero"/>
    <s v="Acero"/>
    <s v="PU/PU DOBLE DENSIDAD"/>
    <n v="47"/>
    <n v="8457780305689"/>
    <s v="18457780305686"/>
    <s v="https://forli.es/basic-steel/278-2301-KANSAS.html#/27-talla-35/41-color-gris"/>
    <s v="https://forli.es/index.php?controller=attachment&amp;id_attachment=130"/>
  </r>
  <r>
    <s v="FOR.KANSAS"/>
    <x v="49"/>
    <s v="FOR.KANSAS-94-48"/>
    <s v="ZAPATO SERRAJE S1+P+CI+HI+SR METALICO Gris 48"/>
    <s v="ZAPATO SERRAJE S1+P+CI+HI+SR METALICO Gris 48. FABRICADO EN PIEL SERRAJE. PUNTERA DE Acero. PLANTILLA Acero. SUELA DE PU/PU DOBLE DENSIDAD"/>
    <s v="Zapato Serraje S1+P+Ci+Hi+Sr Metalico Gris 48. Fabricado En Piel Serraje. Puntera De Acero. Plantilla Acero. Suela De Pu/Pu Doble Densidad"/>
    <n v="10.9"/>
    <x v="1"/>
    <x v="0"/>
    <s v="GRIS"/>
    <s v="PIEL SERRAJE"/>
    <s v="Acero"/>
    <s v="Acero"/>
    <s v="PU/PU DOBLE DENSIDAD"/>
    <n v="48"/>
    <n v="8457780305696"/>
    <n v="18457780305693"/>
    <s v="https://forli.es/basic-steel/278-2301-KANSAS.html#/27-talla-35/41-color-gris"/>
    <s v="https://forli.es/index.php?controller=attachment&amp;id_attachment=130"/>
  </r>
  <r>
    <s v="FOR.CHEROKEE"/>
    <x v="50"/>
    <s v="FOR.CHEROKEE-19-35"/>
    <s v="ZAPATO SERRAJE S1+P+CI+SRC+ESD Camel 35"/>
    <s v="ZAPATO SERRAJE S1+P+CI+SRC+ESD Camel 35. FABRICADO EN PIEL SERRAJE + REJILLA. PUNTERA DE Fibra de vidrio. PLANTILLA Antiperforación textil. SUELA DE PU/PU DOBLE DENSIDAD"/>
    <s v="Zapato Serraje S1+P+Ci+Src+Esd Camel 35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35"/>
    <n v="8457780312267"/>
    <s v="18457780312264"/>
    <s v="https://forli.es/flex-esd/285-2387-CHEROKEE.html#/27-talla-35/50-color-camel"/>
    <s v="https://forli.es/index.php?controller=attachment&amp;id_attachment=114"/>
  </r>
  <r>
    <s v="FOR.CHEROKEE"/>
    <x v="50"/>
    <s v="FOR.CHEROKEE-19-36"/>
    <s v="ZAPATO SERRAJE S1+P+CI+SRC+ESD Camel 36"/>
    <s v="ZAPATO SERRAJE S1+P+CI+SRC+ESD Camel 36. FABRICADO EN PIEL SERRAJE + REJILLA. PUNTERA DE Fibra de vidrio. PLANTILLA Antiperforación textil. SUELA DE PU/PU DOBLE DENSIDAD"/>
    <s v="Zapato Serraje S1+P+Ci+Src+Esd Camel 36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36"/>
    <n v="8457780312274"/>
    <s v="18457780312271"/>
    <s v="https://forli.es/flex-esd/285-2387-CHEROKEE.html#/27-talla-35/50-color-camel"/>
    <s v="https://forli.es/index.php?controller=attachment&amp;id_attachment=114"/>
  </r>
  <r>
    <s v="FOR.CHEROKEE"/>
    <x v="50"/>
    <s v="FOR.CHEROKEE-19-37"/>
    <s v="ZAPATO SERRAJE S1+P+CI+SRC+ESD Camel 37"/>
    <s v="ZAPATO SERRAJE S1+P+CI+SRC+ESD Camel 37. FABRICADO EN PIEL SERRAJE + REJILLA. PUNTERA DE Fibra de vidrio. PLANTILLA Antiperforación textil. SUELA DE PU/PU DOBLE DENSIDAD"/>
    <s v="Zapato Serraje S1+P+Ci+Src+Esd Camel 37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37"/>
    <n v="8457780312281"/>
    <s v="18457780312288"/>
    <s v="https://forli.es/flex-esd/285-2387-CHEROKEE.html#/27-talla-35/50-color-camel"/>
    <s v="https://forli.es/index.php?controller=attachment&amp;id_attachment=114"/>
  </r>
  <r>
    <s v="FOR.CHEROKEE"/>
    <x v="50"/>
    <s v="FOR.CHEROKEE-19-38"/>
    <s v="ZAPATO SERRAJE S1+P+CI+SRC+ESD Camel 38"/>
    <s v="ZAPATO SERRAJE S1+P+CI+SRC+ESD Camel 38. FABRICADO EN PIEL SERRAJE + REJILLA. PUNTERA DE Fibra de vidrio. PLANTILLA Antiperforación textil. SUELA DE PU/PU DOBLE DENSIDAD"/>
    <s v="Zapato Serraje S1+P+Ci+Src+Esd Camel 38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38"/>
    <n v="8457780312298"/>
    <s v="18457780312295"/>
    <s v="https://forli.es/flex-esd/285-2387-CHEROKEE.html#/27-talla-35/50-color-camel"/>
    <s v="https://forli.es/index.php?controller=attachment&amp;id_attachment=114"/>
  </r>
  <r>
    <s v="FOR.CHEROKEE"/>
    <x v="50"/>
    <s v="FOR.CHEROKEE-19-39"/>
    <s v="ZAPATO SERRAJE S1+P+CI+SRC+ESD Camel 39"/>
    <s v="ZAPATO SERRAJE S1+P+CI+SRC+ESD Camel 39. FABRICADO EN PIEL SERRAJE + REJILLA. PUNTERA DE Fibra de vidrio. PLANTILLA Antiperforación textil. SUELA DE PU/PU DOBLE DENSIDAD"/>
    <s v="Zapato Serraje S1+P+Ci+Src+Esd Camel 39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39"/>
    <n v="8457780312304"/>
    <s v="18457780312301"/>
    <s v="https://forli.es/flex-esd/285-2387-CHEROKEE.html#/27-talla-35/50-color-camel"/>
    <s v="https://forli.es/index.php?controller=attachment&amp;id_attachment=114"/>
  </r>
  <r>
    <s v="FOR.CHEROKEE"/>
    <x v="50"/>
    <s v="FOR.CHEROKEE-19-40"/>
    <s v="ZAPATO SERRAJE S1+P+CI+SRC+ESD Camel 40"/>
    <s v="ZAPATO SERRAJE S1+P+CI+SRC+ESD Camel 40. FABRICADO EN PIEL SERRAJE + REJILLA. PUNTERA DE Fibra de vidrio. PLANTILLA Antiperforación textil. SUELA DE PU/PU DOBLE DENSIDAD"/>
    <s v="Zapato Serraje S1+P+Ci+Src+Esd Camel 40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0"/>
    <n v="8457780312311"/>
    <s v="18457780312318"/>
    <s v="https://forli.es/flex-esd/285-2387-CHEROKEE.html#/27-talla-35/50-color-camel"/>
    <s v="https://forli.es/index.php?controller=attachment&amp;id_attachment=114"/>
  </r>
  <r>
    <s v="FOR.CHEROKEE"/>
    <x v="50"/>
    <s v="FOR.CHEROKEE-19-41"/>
    <s v="ZAPATO SERRAJE S1+P+CI+SRC+ESD Camel 41"/>
    <s v="ZAPATO SERRAJE S1+P+CI+SRC+ESD Camel 41. FABRICADO EN PIEL SERRAJE + REJILLA. PUNTERA DE Fibra de vidrio. PLANTILLA Antiperforación textil. SUELA DE PU/PU DOBLE DENSIDAD"/>
    <s v="Zapato Serraje S1+P+Ci+Src+Esd Camel 41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1"/>
    <n v="8457780312328"/>
    <s v="18457780312325"/>
    <s v="https://forli.es/flex-esd/285-2387-CHEROKEE.html#/27-talla-35/50-color-camel"/>
    <s v="https://forli.es/index.php?controller=attachment&amp;id_attachment=114"/>
  </r>
  <r>
    <s v="FOR.CHEROKEE"/>
    <x v="50"/>
    <s v="FOR.CHEROKEE-19-42"/>
    <s v="ZAPATO SERRAJE S1+P+CI+SRC+ESD Camel 42"/>
    <s v="ZAPATO SERRAJE S1+P+CI+SRC+ESD Camel 42. FABRICADO EN PIEL SERRAJE + REJILLA. PUNTERA DE Fibra de vidrio. PLANTILLA Antiperforación textil. SUELA DE PU/PU DOBLE DENSIDAD"/>
    <s v="Zapato Serraje S1+P+Ci+Src+Esd Camel 42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2"/>
    <n v="8457780312335"/>
    <s v="18457780312332"/>
    <s v="https://forli.es/flex-esd/285-2387-CHEROKEE.html#/27-talla-35/50-color-camel"/>
    <s v="https://forli.es/index.php?controller=attachment&amp;id_attachment=114"/>
  </r>
  <r>
    <s v="FOR.CHEROKEE"/>
    <x v="50"/>
    <s v="FOR.CHEROKEE-19-43"/>
    <s v="ZAPATO SERRAJE S1+P+CI+SRC+ESD Camel 43"/>
    <s v="ZAPATO SERRAJE S1+P+CI+SRC+ESD Camel 43. FABRICADO EN PIEL SERRAJE + REJILLA. PUNTERA DE Fibra de vidrio. PLANTILLA Antiperforación textil. SUELA DE PU/PU DOBLE DENSIDAD"/>
    <s v="Zapato Serraje S1+P+Ci+Src+Esd Camel 43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3"/>
    <n v="8457780312342"/>
    <s v="18457780312349"/>
    <s v="https://forli.es/flex-esd/285-2387-CHEROKEE.html#/27-talla-35/50-color-camel"/>
    <s v="https://forli.es/index.php?controller=attachment&amp;id_attachment=114"/>
  </r>
  <r>
    <s v="FOR.CHEROKEE"/>
    <x v="50"/>
    <s v="FOR.CHEROKEE-19-44"/>
    <s v="ZAPATO SERRAJE S1+P+CI+SRC+ESD Camel 44"/>
    <s v="ZAPATO SERRAJE S1+P+CI+SRC+ESD Camel 44. FABRICADO EN PIEL SERRAJE + REJILLA. PUNTERA DE Fibra de vidrio. PLANTILLA Antiperforación textil. SUELA DE PU/PU DOBLE DENSIDAD"/>
    <s v="Zapato Serraje S1+P+Ci+Src+Esd Camel 44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4"/>
    <n v="8457780312359"/>
    <s v="18457780312356"/>
    <s v="https://forli.es/flex-esd/285-2387-CHEROKEE.html#/27-talla-35/50-color-camel"/>
    <s v="https://forli.es/index.php?controller=attachment&amp;id_attachment=114"/>
  </r>
  <r>
    <s v="FOR.CHEROKEE"/>
    <x v="50"/>
    <s v="FOR.CHEROKEE-19-45"/>
    <s v="ZAPATO SERRAJE S1+P+CI+SRC+ESD Camel 45"/>
    <s v="ZAPATO SERRAJE S1+P+CI+SRC+ESD Camel 45. FABRICADO EN PIEL SERRAJE + REJILLA. PUNTERA DE Fibra de vidrio. PLANTILLA Antiperforación textil. SUELA DE PU/PU DOBLE DENSIDAD"/>
    <s v="Zapato Serraje S1+P+Ci+Src+Esd Camel 45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5"/>
    <n v="8457780312366"/>
    <s v="18457780312363"/>
    <s v="https://forli.es/flex-esd/285-2387-CHEROKEE.html#/27-talla-35/50-color-camel"/>
    <s v="https://forli.es/index.php?controller=attachment&amp;id_attachment=114"/>
  </r>
  <r>
    <s v="FOR.CHEROKEE"/>
    <x v="50"/>
    <s v="FOR.CHEROKEE-19-46"/>
    <s v="ZAPATO SERRAJE S1+P+CI+SRC+ESD Camel 46"/>
    <s v="ZAPATO SERRAJE S1+P+CI+SRC+ESD Camel 46. FABRICADO EN PIEL SERRAJE + REJILLA. PUNTERA DE Fibra de vidrio. PLANTILLA Antiperforación textil. SUELA DE PU/PU DOBLE DENSIDAD"/>
    <s v="Zapato Serraje S1+P+Ci+Src+Esd Camel 46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6"/>
    <n v="8457780312373"/>
    <s v="18457780312370"/>
    <s v="https://forli.es/flex-esd/285-2387-CHEROKEE.html#/27-talla-35/50-color-camel"/>
    <s v="https://forli.es/index.php?controller=attachment&amp;id_attachment=114"/>
  </r>
  <r>
    <s v="FOR.CHEROKEE"/>
    <x v="50"/>
    <s v="FOR.CHEROKEE-19-47"/>
    <s v="ZAPATO SERRAJE S1+P+CI+SRC+ESD Camel 47"/>
    <s v="ZAPATO SERRAJE S1+P+CI+SRC+ESD Camel 47. FABRICADO EN PIEL SERRAJE + REJILLA. PUNTERA DE Fibra de vidrio. PLANTILLA Antiperforación textil. SUELA DE PU/PU DOBLE DENSIDAD"/>
    <s v="Zapato Serraje S1+P+Ci+Src+Esd Camel 47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7"/>
    <n v="8457780312380"/>
    <s v="18457780312387"/>
    <s v="https://forli.es/flex-esd/285-2387-CHEROKEE.html#/27-talla-35/50-color-camel"/>
    <s v="https://forli.es/index.php?controller=attachment&amp;id_attachment=114"/>
  </r>
  <r>
    <s v="FOR.CHEROKEE"/>
    <x v="50"/>
    <s v="FOR.CHEROKEE-19-48"/>
    <s v="ZAPATO SERRAJE S1+P+CI+SRC+ESD Camel 48"/>
    <s v="ZAPATO SERRAJE S1+P+CI+SRC+ESD Camel 48. FABRICADO EN PIEL SERRAJE + REJILLA. PUNTERA DE Fibra de vidrio. PLANTILLA Antiperforación textil. SUELA DE PU/PU DOBLE DENSIDAD"/>
    <s v="Zapato Serraje S1+P+Ci+Src+Esd Camel 48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8"/>
    <n v="8457780312397"/>
    <s v="18457780312394"/>
    <s v="https://forli.es/flex-esd/285-2387-CHEROKEE.html#/27-talla-35/50-color-camel"/>
    <s v="https://forli.es/index.php?controller=attachment&amp;id_attachment=114"/>
  </r>
  <r>
    <s v="FOR.CHEROKEE"/>
    <x v="50"/>
    <s v="FOR.CHEROKEE-19-49"/>
    <s v="ZAPATO SERRAJE S1+P+CI+SRC+ESD Camel 49"/>
    <s v="ZAPATO SERRAJE S1+P+CI+SRC+ESD Camel 49. FABRICADO EN PIEL SERRAJE + REJILLA. PUNTERA DE Fibra de vidrio. PLANTILLA Antiperforación textil. SUELA DE PU/PU DOBLE DENSIDAD"/>
    <s v="Zapato Serraje S1+P+Ci+Src+Esd Camel 49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49"/>
    <n v="8457780348402"/>
    <n v="1845778034840"/>
    <s v="https://forli.es/flex-esd/285-2387-CHEROKEE.html#/27-talla-35/50-color-camel"/>
    <s v="https://forli.es/index.php?controller=attachment&amp;id_attachment=114"/>
  </r>
  <r>
    <s v="FOR.CHEROKEE"/>
    <x v="50"/>
    <s v="FOR.CHEROKEE-19-50"/>
    <s v="ZAPATO SERRAJE S1+P+CI+SRC+ESD Camel 50"/>
    <s v="ZAPATO SERRAJE S1+P+CI+SRC+ESD Camel 50. FABRICADO EN PIEL SERRAJE + REJILLA. PUNTERA DE Fibra de vidrio. PLANTILLA Antiperforación textil. SUELA DE PU/PU DOBLE DENSIDAD"/>
    <s v="Zapato Serraje S1+P+Ci+Src+Esd Camel 50. Fabricado En Piel Serraje + Rejilla. Puntera De Fibra De Vidrio. Plantilla Antiperforación Textil. Suela De Pu/Pu Doble Densidad"/>
    <n v="23.3"/>
    <x v="1"/>
    <x v="0"/>
    <s v="CAMEL"/>
    <s v="PIEL SERRAJE + REJILLA"/>
    <s v="Fibra de vidrio"/>
    <s v="Antiperforación textil"/>
    <s v="PU/PU DOBLE DENSIDAD"/>
    <n v="50"/>
    <n v="8457780348419"/>
    <n v="1845778034841"/>
    <s v="https://forli.es/flex-esd/285-2387-CHEROKEE.html#/27-talla-35/50-color-camel"/>
    <s v="https://forli.es/index.php?controller=attachment&amp;id_attachment=114"/>
  </r>
  <r>
    <s v="FOR.BUFFALO"/>
    <x v="51"/>
    <s v="FOR.BUFFALO-99-35"/>
    <s v="ZAPATO SERRAJE S1+P+SRC Azul 35"/>
    <s v="ZAPATO SERRAJE S1+P+SRC Azul 35. FABRICADO EN PIEL SERRAJE. PUNTERA DE Fibra de vidrio. PLANTILLA Antiperforación textil. SUELA DE PU/PU DOBLE DENSIDAD"/>
    <s v="Zapato Serraje S1+P+Src Azul 35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35"/>
    <n v="8457780303982"/>
    <s v="18457780303989"/>
    <s v="https://forli.es/basic-metal-free/268-2173-BUFFALO.html#/27-talla-35/42-color-negro_black"/>
    <s v="https://forli.es/index.php?controller=attachment&amp;id_attachment=126"/>
  </r>
  <r>
    <s v="FOR.BUFFALO"/>
    <x v="51"/>
    <s v="FOR.BUFFALO-99-36"/>
    <s v="ZAPATO SERRAJE S1+P+SRC Azul 36"/>
    <s v="ZAPATO SERRAJE S1+P+SRC Azul 36. FABRICADO EN PIEL SERRAJE. PUNTERA DE Fibra de vidrio. PLANTILLA Antiperforación textil. SUELA DE PU/PU DOBLE DENSIDAD"/>
    <s v="Zapato Serraje S1+P+Src Azul 36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36"/>
    <n v="8457780268366"/>
    <s v="18457780268363"/>
    <s v="https://forli.es/basic-metal-free/268-2173-BUFFALO.html#/27-talla-35/42-color-negro_black"/>
    <s v="https://forli.es/index.php?controller=attachment&amp;id_attachment=126"/>
  </r>
  <r>
    <s v="FOR.BUFFALO"/>
    <x v="51"/>
    <s v="FOR.BUFFALO-99-37"/>
    <s v="ZAPATO SERRAJE S1+P+SRC Azul 37"/>
    <s v="ZAPATO SERRAJE S1+P+SRC Azul 37. FABRICADO EN PIEL SERRAJE. PUNTERA DE Fibra de vidrio. PLANTILLA Antiperforación textil. SUELA DE PU/PU DOBLE DENSIDAD"/>
    <s v="Zapato Serraje S1+P+Src Azul 37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37"/>
    <n v="8457780268373"/>
    <s v="18457780268370"/>
    <s v="https://forli.es/basic-metal-free/268-2173-BUFFALO.html#/27-talla-35/42-color-negro_black"/>
    <s v="https://forli.es/index.php?controller=attachment&amp;id_attachment=126"/>
  </r>
  <r>
    <s v="FOR.BUFFALO"/>
    <x v="51"/>
    <s v="FOR.BUFFALO-99-38"/>
    <s v="ZAPATO SERRAJE S1+P+SRC Azul 38"/>
    <s v="ZAPATO SERRAJE S1+P+SRC Azul 38. FABRICADO EN PIEL SERRAJE. PUNTERA DE Fibra de vidrio. PLANTILLA Antiperforación textil. SUELA DE PU/PU DOBLE DENSIDAD"/>
    <s v="Zapato Serraje S1+P+Src Azul 38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38"/>
    <n v="8457780268380"/>
    <s v="18457780268387"/>
    <s v="https://forli.es/basic-metal-free/268-2173-BUFFALO.html#/27-talla-35/42-color-negro_black"/>
    <s v="https://forli.es/index.php?controller=attachment&amp;id_attachment=126"/>
  </r>
  <r>
    <s v="FOR.BUFFALO"/>
    <x v="51"/>
    <s v="FOR.BUFFALO-99-39"/>
    <s v="ZAPATO SERRAJE S1+P+SRC Azul 39"/>
    <s v="ZAPATO SERRAJE S1+P+SRC Azul 39. FABRICADO EN PIEL SERRAJE. PUNTERA DE Fibra de vidrio. PLANTILLA Antiperforación textil. SUELA DE PU/PU DOBLE DENSIDAD"/>
    <s v="Zapato Serraje S1+P+Src Azul 39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39"/>
    <n v="8457780268397"/>
    <s v="18457780268394"/>
    <s v="https://forli.es/basic-metal-free/268-2173-BUFFALO.html#/27-talla-35/42-color-negro_black"/>
    <s v="https://forli.es/index.php?controller=attachment&amp;id_attachment=126"/>
  </r>
  <r>
    <s v="FOR.BUFFALO"/>
    <x v="51"/>
    <s v="FOR.BUFFALO-99-40"/>
    <s v="ZAPATO SERRAJE S1+P+SRC Azul 40"/>
    <s v="ZAPATO SERRAJE S1+P+SRC Azul 40. FABRICADO EN PIEL SERRAJE. PUNTERA DE Fibra de vidrio. PLANTILLA Antiperforación textil. SUELA DE PU/PU DOBLE DENSIDAD"/>
    <s v="Zapato Serraje S1+P+Src Azul 40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0"/>
    <n v="8457780268403"/>
    <s v="18457780268400"/>
    <s v="https://forli.es/basic-metal-free/268-2173-BUFFALO.html#/27-talla-35/42-color-negro_black"/>
    <s v="https://forli.es/index.php?controller=attachment&amp;id_attachment=126"/>
  </r>
  <r>
    <s v="FOR.BUFFALO"/>
    <x v="51"/>
    <s v="FOR.BUFFALO-99-41"/>
    <s v="ZAPATO SERRAJE S1+P+SRC Azul 41"/>
    <s v="ZAPATO SERRAJE S1+P+SRC Azul 41. FABRICADO EN PIEL SERRAJE. PUNTERA DE Fibra de vidrio. PLANTILLA Antiperforación textil. SUELA DE PU/PU DOBLE DENSIDAD"/>
    <s v="Zapato Serraje S1+P+Src Azul 41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1"/>
    <n v="8457780268410"/>
    <s v="18457780268417"/>
    <s v="https://forli.es/basic-metal-free/268-2173-BUFFALO.html#/27-talla-35/42-color-negro_black"/>
    <s v="https://forli.es/index.php?controller=attachment&amp;id_attachment=126"/>
  </r>
  <r>
    <s v="FOR.BUFFALO"/>
    <x v="51"/>
    <s v="FOR.BUFFALO-99-42"/>
    <s v="ZAPATO SERRAJE S1+P+SRC Azul 42"/>
    <s v="ZAPATO SERRAJE S1+P+SRC Azul 42. FABRICADO EN PIEL SERRAJE. PUNTERA DE Fibra de vidrio. PLANTILLA Antiperforación textil. SUELA DE PU/PU DOBLE DENSIDAD"/>
    <s v="Zapato Serraje S1+P+Src Azul 42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2"/>
    <n v="8457780268427"/>
    <s v="18457780268424"/>
    <s v="https://forli.es/basic-metal-free/268-2173-BUFFALO.html#/27-talla-35/42-color-negro_black"/>
    <s v="https://forli.es/index.php?controller=attachment&amp;id_attachment=126"/>
  </r>
  <r>
    <s v="FOR.BUFFALO"/>
    <x v="51"/>
    <s v="FOR.BUFFALO-99-43"/>
    <s v="ZAPATO SERRAJE S1+P+SRC Azul 43"/>
    <s v="ZAPATO SERRAJE S1+P+SRC Azul 43. FABRICADO EN PIEL SERRAJE. PUNTERA DE Fibra de vidrio. PLANTILLA Antiperforación textil. SUELA DE PU/PU DOBLE DENSIDAD"/>
    <s v="Zapato Serraje S1+P+Src Azul 43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3"/>
    <n v="8457780268434"/>
    <s v="18457780268431"/>
    <s v="https://forli.es/basic-metal-free/268-2173-BUFFALO.html#/27-talla-35/42-color-negro_black"/>
    <s v="https://forli.es/index.php?controller=attachment&amp;id_attachment=126"/>
  </r>
  <r>
    <s v="FOR.BUFFALO"/>
    <x v="51"/>
    <s v="FOR.BUFFALO-99-44"/>
    <s v="ZAPATO SERRAJE S1+P+SRC Azul 44"/>
    <s v="ZAPATO SERRAJE S1+P+SRC Azul 44. FABRICADO EN PIEL SERRAJE. PUNTERA DE Fibra de vidrio. PLANTILLA Antiperforación textil. SUELA DE PU/PU DOBLE DENSIDAD"/>
    <s v="Zapato Serraje S1+P+Src Azul 44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4"/>
    <n v="8457780268441"/>
    <s v="18457780268448"/>
    <s v="https://forli.es/basic-metal-free/268-2173-BUFFALO.html#/27-talla-35/42-color-negro_black"/>
    <s v="https://forli.es/index.php?controller=attachment&amp;id_attachment=126"/>
  </r>
  <r>
    <s v="FOR.BUFFALO"/>
    <x v="51"/>
    <s v="FOR.BUFFALO-99-45"/>
    <s v="ZAPATO SERRAJE S1+P+SRC Azul 45"/>
    <s v="ZAPATO SERRAJE S1+P+SRC Azul 45. FABRICADO EN PIEL SERRAJE. PUNTERA DE Fibra de vidrio. PLANTILLA Antiperforación textil. SUELA DE PU/PU DOBLE DENSIDAD"/>
    <s v="Zapato Serraje S1+P+Src Azul 45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5"/>
    <n v="8457780268458"/>
    <s v="18457780268455"/>
    <s v="https://forli.es/basic-metal-free/268-2173-BUFFALO.html#/27-talla-35/42-color-negro_black"/>
    <s v="https://forli.es/index.php?controller=attachment&amp;id_attachment=126"/>
  </r>
  <r>
    <s v="FOR.BUFFALO"/>
    <x v="51"/>
    <s v="FOR.BUFFALO-99-46"/>
    <s v="ZAPATO SERRAJE S1+P+SRC Azul 46"/>
    <s v="ZAPATO SERRAJE S1+P+SRC Azul 46. FABRICADO EN PIEL SERRAJE. PUNTERA DE Fibra de vidrio. PLANTILLA Antiperforación textil. SUELA DE PU/PU DOBLE DENSIDAD"/>
    <s v="Zapato Serraje S1+P+Src Azul 46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6"/>
    <n v="8457780268465"/>
    <s v="18457780268462"/>
    <s v="https://forli.es/basic-metal-free/268-2173-BUFFALO.html#/27-talla-35/42-color-negro_black"/>
    <s v="https://forli.es/index.php?controller=attachment&amp;id_attachment=126"/>
  </r>
  <r>
    <s v="FOR.BUFFALO"/>
    <x v="51"/>
    <s v="FOR.BUFFALO-99-47"/>
    <s v="ZAPATO SERRAJE S1+P+SRC Azul 47"/>
    <s v="ZAPATO SERRAJE S1+P+SRC Azul 47. FABRICADO EN PIEL SERRAJE. PUNTERA DE Fibra de vidrio. PLANTILLA Antiperforación textil. SUELA DE PU/PU DOBLE DENSIDAD"/>
    <s v="Zapato Serraje S1+P+Src Azul 47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7"/>
    <n v="8457780268472"/>
    <s v="18457780268479"/>
    <s v="https://forli.es/basic-metal-free/268-2173-BUFFALO.html#/27-talla-35/42-color-negro_black"/>
    <s v="https://forli.es/index.php?controller=attachment&amp;id_attachment=126"/>
  </r>
  <r>
    <s v="FOR.BUFFALO"/>
    <x v="51"/>
    <s v="FOR.BUFFALO-99-48"/>
    <s v="ZAPATO SERRAJE S1+P+SRC Azul 48"/>
    <s v="ZAPATO SERRAJE S1+P+SRC Azul 48. FABRICADO EN PIEL SERRAJE. PUNTERA DE Fibra de vidrio. PLANTILLA Antiperforación textil. SUELA DE PU/PU DOBLE DENSIDAD"/>
    <s v="Zapato Serraje S1+P+Src Azul 48. Fabricado En Piel Serraje. Puntera De Fibra De Vidrio. Plantilla Antiperforación Textil. Suela De Pu/Pu Doble Densidad"/>
    <n v="14.9"/>
    <x v="1"/>
    <x v="0"/>
    <s v="AZUL"/>
    <s v="PIEL SERRAJE"/>
    <s v="Fibra de vidrio"/>
    <s v="Antiperforación textil"/>
    <s v="PU/PU DOBLE DENSIDAD"/>
    <n v="48"/>
    <n v="8457780303999"/>
    <s v="18457780303996"/>
    <s v="https://forli.es/basic-metal-free/268-2173-BUFFALO.html#/27-talla-35/42-color-negro_black"/>
    <s v="https://forli.es/index.php?controller=attachment&amp;id_attachment=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EB288-027A-4C62-B07A-AE2EB58F6B2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08" firstHeaderRow="1" firstDataRow="1" firstDataCol="1"/>
  <pivotFields count="19">
    <pivotField showAll="0"/>
    <pivotField axis="axisRow" showAll="0">
      <items count="53">
        <item x="2"/>
        <item x="10"/>
        <item x="32"/>
        <item x="16"/>
        <item x="8"/>
        <item x="37"/>
        <item x="12"/>
        <item x="51"/>
        <item x="11"/>
        <item x="50"/>
        <item x="19"/>
        <item x="20"/>
        <item x="15"/>
        <item x="5"/>
        <item x="9"/>
        <item x="14"/>
        <item x="4"/>
        <item x="22"/>
        <item x="29"/>
        <item x="17"/>
        <item x="26"/>
        <item x="27"/>
        <item x="25"/>
        <item x="35"/>
        <item x="24"/>
        <item x="46"/>
        <item x="39"/>
        <item x="40"/>
        <item x="13"/>
        <item x="49"/>
        <item x="48"/>
        <item x="33"/>
        <item x="3"/>
        <item x="6"/>
        <item x="31"/>
        <item x="18"/>
        <item x="47"/>
        <item x="0"/>
        <item x="1"/>
        <item x="21"/>
        <item x="38"/>
        <item x="28"/>
        <item x="44"/>
        <item x="7"/>
        <item x="41"/>
        <item x="30"/>
        <item x="45"/>
        <item x="23"/>
        <item x="36"/>
        <item x="34"/>
        <item x="42"/>
        <item x="43"/>
        <item t="default"/>
      </items>
    </pivotField>
    <pivotField showAll="0"/>
    <pivotField showAll="0"/>
    <pivotField showAll="0"/>
    <pivotField showAll="0"/>
    <pivotField numFmtId="44"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</pivotFields>
  <rowFields count="2">
    <field x="1"/>
    <field x="7"/>
  </rowFields>
  <rowItems count="105">
    <i>
      <x/>
    </i>
    <i r="1">
      <x/>
    </i>
    <i>
      <x v="1"/>
    </i>
    <i r="1">
      <x/>
    </i>
    <i>
      <x v="2"/>
    </i>
    <i r="1">
      <x v="3"/>
    </i>
    <i>
      <x v="3"/>
    </i>
    <i r="1">
      <x/>
    </i>
    <i>
      <x v="4"/>
    </i>
    <i r="1">
      <x/>
    </i>
    <i>
      <x v="5"/>
    </i>
    <i r="1">
      <x v="3"/>
    </i>
    <i>
      <x v="6"/>
    </i>
    <i r="1">
      <x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 v="3"/>
    </i>
    <i>
      <x v="11"/>
    </i>
    <i r="1">
      <x v="3"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 v="1"/>
    </i>
    <i>
      <x v="18"/>
    </i>
    <i r="1">
      <x v="3"/>
    </i>
    <i>
      <x v="19"/>
    </i>
    <i r="1">
      <x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3"/>
    </i>
    <i>
      <x v="24"/>
    </i>
    <i r="1">
      <x v="1"/>
    </i>
    <i>
      <x v="25"/>
    </i>
    <i r="1">
      <x v="3"/>
    </i>
    <i>
      <x v="26"/>
    </i>
    <i r="1">
      <x v="3"/>
    </i>
    <i>
      <x v="27"/>
    </i>
    <i r="1">
      <x v="3"/>
    </i>
    <i>
      <x v="28"/>
    </i>
    <i r="1">
      <x/>
    </i>
    <i>
      <x v="29"/>
    </i>
    <i r="1">
      <x v="3"/>
    </i>
    <i>
      <x v="30"/>
    </i>
    <i r="1">
      <x v="3"/>
    </i>
    <i>
      <x v="31"/>
    </i>
    <i r="1">
      <x v="3"/>
    </i>
    <i>
      <x v="32"/>
    </i>
    <i r="1">
      <x/>
    </i>
    <i>
      <x v="33"/>
    </i>
    <i r="1">
      <x/>
    </i>
    <i>
      <x v="34"/>
    </i>
    <i r="1">
      <x v="3"/>
    </i>
    <i>
      <x v="35"/>
    </i>
    <i r="1">
      <x/>
    </i>
    <i>
      <x v="36"/>
    </i>
    <i r="1">
      <x v="3"/>
    </i>
    <i>
      <x v="37"/>
    </i>
    <i r="1">
      <x/>
    </i>
    <i>
      <x v="38"/>
    </i>
    <i r="1">
      <x/>
    </i>
    <i>
      <x v="39"/>
    </i>
    <i r="1">
      <x v="2"/>
    </i>
    <i>
      <x v="40"/>
    </i>
    <i r="1">
      <x v="3"/>
    </i>
    <i>
      <x v="41"/>
    </i>
    <i r="1">
      <x v="1"/>
    </i>
    <i>
      <x v="42"/>
    </i>
    <i r="1">
      <x v="3"/>
    </i>
    <i>
      <x v="43"/>
    </i>
    <i r="1">
      <x/>
    </i>
    <i>
      <x v="44"/>
    </i>
    <i r="1">
      <x v="3"/>
    </i>
    <i>
      <x v="45"/>
    </i>
    <i r="1">
      <x v="3"/>
    </i>
    <i>
      <x v="46"/>
    </i>
    <i r="1">
      <x v="3"/>
    </i>
    <i>
      <x v="47"/>
    </i>
    <i r="1">
      <x v="1"/>
    </i>
    <i>
      <x v="48"/>
    </i>
    <i r="1">
      <x v="1"/>
    </i>
    <i>
      <x v="49"/>
    </i>
    <i r="1">
      <x v="3"/>
    </i>
    <i>
      <x v="50"/>
    </i>
    <i r="1">
      <x v="3"/>
    </i>
    <i>
      <x v="51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88283-DAD5-4FF5-94ED-0200B1895A65}" name="Tabla1" displayName="Tabla1" ref="B5:C56" totalsRowShown="0" tableBorderDxfId="2">
  <autoFilter ref="B5:C56" xr:uid="{9AE88283-DAD5-4FF5-94ED-0200B1895A65}"/>
  <tableColumns count="2">
    <tableColumn id="1" xr3:uid="{82662B44-56EF-4A76-A28F-338192AFE7C2}" name="REF" dataDxfId="1"/>
    <tableColumn id="2" xr3:uid="{BD32C008-F270-4595-901E-CBB09596653B}" name="neto" dataDxfId="0" dataCellStyle="Mon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orli.es/index.php?controller=attachment&amp;id_attachment=162" TargetMode="External"/><Relationship Id="rId21" Type="http://schemas.openxmlformats.org/officeDocument/2006/relationships/hyperlink" Target="https://forli.es/index.php?controller=attachment&amp;id_attachment=162" TargetMode="External"/><Relationship Id="rId42" Type="http://schemas.openxmlformats.org/officeDocument/2006/relationships/hyperlink" Target="https://forli.es/basic-steel/267-2159-BOSTON.html" TargetMode="External"/><Relationship Id="rId47" Type="http://schemas.openxmlformats.org/officeDocument/2006/relationships/hyperlink" Target="https://forli.es/index.php?controller=attachment&amp;id_attachment=128" TargetMode="External"/><Relationship Id="rId63" Type="http://schemas.openxmlformats.org/officeDocument/2006/relationships/hyperlink" Target="https://forli.es/basic-steel/277-2289-DETROIT.html" TargetMode="External"/><Relationship Id="rId68" Type="http://schemas.openxmlformats.org/officeDocument/2006/relationships/hyperlink" Target="https://forli.es/basic-steel/277-2289-DETROIT.html" TargetMode="External"/><Relationship Id="rId84" Type="http://schemas.openxmlformats.org/officeDocument/2006/relationships/hyperlink" Target="https://forli.es/neo-sanitario/345-3129-DOVERNG.html" TargetMode="External"/><Relationship Id="rId89" Type="http://schemas.openxmlformats.org/officeDocument/2006/relationships/hyperlink" Target="https://forli.es/calzado-de-seguridad-ocupacional/265-2131-ALASKA.html" TargetMode="External"/><Relationship Id="rId16" Type="http://schemas.openxmlformats.org/officeDocument/2006/relationships/hyperlink" Target="https://forli.es/index.php?controller=attachment&amp;id_attachment=162" TargetMode="External"/><Relationship Id="rId11" Type="http://schemas.openxmlformats.org/officeDocument/2006/relationships/hyperlink" Target="https://forli.es/calzado-de-seguridad-ocupacional/265-2131-ALASKA.html" TargetMode="External"/><Relationship Id="rId32" Type="http://schemas.openxmlformats.org/officeDocument/2006/relationships/hyperlink" Target="https://forli.es/index.php?controller=attachment&amp;id_attachment=128" TargetMode="External"/><Relationship Id="rId37" Type="http://schemas.openxmlformats.org/officeDocument/2006/relationships/hyperlink" Target="https://forli.es/basic-steel/267-2159-BOSTON.html" TargetMode="External"/><Relationship Id="rId53" Type="http://schemas.openxmlformats.org/officeDocument/2006/relationships/hyperlink" Target="https://forli.es/index.php?controller=attachment&amp;id_attachment=128" TargetMode="External"/><Relationship Id="rId58" Type="http://schemas.openxmlformats.org/officeDocument/2006/relationships/hyperlink" Target="https://forli.es/index.php?controller=attachment&amp;id_attachment=128" TargetMode="External"/><Relationship Id="rId74" Type="http://schemas.openxmlformats.org/officeDocument/2006/relationships/hyperlink" Target="https://forli.es/neo-sanitario/345-3129-DOVERNG.html" TargetMode="External"/><Relationship Id="rId79" Type="http://schemas.openxmlformats.org/officeDocument/2006/relationships/hyperlink" Target="https://forli.es/neo-sanitario/345-3129-DOVERNG.html" TargetMode="External"/><Relationship Id="rId5" Type="http://schemas.openxmlformats.org/officeDocument/2006/relationships/hyperlink" Target="https://forli.es/calzado-de-seguridad-ocupacional/265-2131-ALASKA.html" TargetMode="External"/><Relationship Id="rId90" Type="http://schemas.openxmlformats.org/officeDocument/2006/relationships/hyperlink" Target="https://forli.es/rider/284-2373-ROCK.html" TargetMode="External"/><Relationship Id="rId14" Type="http://schemas.openxmlformats.org/officeDocument/2006/relationships/hyperlink" Target="https://forli.es/calzado-de-seguridad-ocupacional/265-2131-ALASKA.html" TargetMode="External"/><Relationship Id="rId22" Type="http://schemas.openxmlformats.org/officeDocument/2006/relationships/hyperlink" Target="https://forli.es/index.php?controller=attachment&amp;id_attachment=162" TargetMode="External"/><Relationship Id="rId27" Type="http://schemas.openxmlformats.org/officeDocument/2006/relationships/hyperlink" Target="https://forli.es/index.php?controller=attachment&amp;id_attachment=162" TargetMode="External"/><Relationship Id="rId30" Type="http://schemas.openxmlformats.org/officeDocument/2006/relationships/hyperlink" Target="https://forli.es/evolution/373-11054-TEXAS.html" TargetMode="External"/><Relationship Id="rId35" Type="http://schemas.openxmlformats.org/officeDocument/2006/relationships/hyperlink" Target="https://forli.es/basic-steel/267-2159-BOSTON.html" TargetMode="External"/><Relationship Id="rId43" Type="http://schemas.openxmlformats.org/officeDocument/2006/relationships/hyperlink" Target="https://forli.es/basic-steel/267-2159-BOSTON.html" TargetMode="External"/><Relationship Id="rId48" Type="http://schemas.openxmlformats.org/officeDocument/2006/relationships/hyperlink" Target="https://forli.es/index.php?controller=attachment&amp;id_attachment=128" TargetMode="External"/><Relationship Id="rId56" Type="http://schemas.openxmlformats.org/officeDocument/2006/relationships/hyperlink" Target="https://forli.es/index.php?controller=attachment&amp;id_attachment=128" TargetMode="External"/><Relationship Id="rId64" Type="http://schemas.openxmlformats.org/officeDocument/2006/relationships/hyperlink" Target="https://forli.es/basic-steel/277-2289-DETROIT.html" TargetMode="External"/><Relationship Id="rId69" Type="http://schemas.openxmlformats.org/officeDocument/2006/relationships/hyperlink" Target="https://forli.es/basic-steel/277-2289-DETROIT.html" TargetMode="External"/><Relationship Id="rId77" Type="http://schemas.openxmlformats.org/officeDocument/2006/relationships/hyperlink" Target="https://forli.es/neo-sanitario/345-3129-DOVERNG.html" TargetMode="External"/><Relationship Id="rId8" Type="http://schemas.openxmlformats.org/officeDocument/2006/relationships/hyperlink" Target="https://forli.es/calzado-de-seguridad-ocupacional/265-2131-ALASKA.html" TargetMode="External"/><Relationship Id="rId51" Type="http://schemas.openxmlformats.org/officeDocument/2006/relationships/hyperlink" Target="https://forli.es/index.php?controller=attachment&amp;id_attachment=128" TargetMode="External"/><Relationship Id="rId72" Type="http://schemas.openxmlformats.org/officeDocument/2006/relationships/hyperlink" Target="https://forli.es/neo-sanitario/345-3129-DOVERNG.html" TargetMode="External"/><Relationship Id="rId80" Type="http://schemas.openxmlformats.org/officeDocument/2006/relationships/hyperlink" Target="https://forli.es/neo-sanitario/345-3129-DOVERNG.html" TargetMode="External"/><Relationship Id="rId85" Type="http://schemas.openxmlformats.org/officeDocument/2006/relationships/hyperlink" Target="https://forli.es/neo-sanitario/374-11068-DELTA.html" TargetMode="External"/><Relationship Id="rId3" Type="http://schemas.openxmlformats.org/officeDocument/2006/relationships/hyperlink" Target="https://forli.es/calzado-de-seguridad-ocupacional/265-2131-ALASKA.html" TargetMode="External"/><Relationship Id="rId12" Type="http://schemas.openxmlformats.org/officeDocument/2006/relationships/hyperlink" Target="https://forli.es/calzado-de-seguridad-ocupacional/265-2131-ALASKA.html" TargetMode="External"/><Relationship Id="rId17" Type="http://schemas.openxmlformats.org/officeDocument/2006/relationships/hyperlink" Target="https://forli.es/index.php?controller=attachment&amp;id_attachment=162" TargetMode="External"/><Relationship Id="rId25" Type="http://schemas.openxmlformats.org/officeDocument/2006/relationships/hyperlink" Target="https://forli.es/index.php?controller=attachment&amp;id_attachment=162" TargetMode="External"/><Relationship Id="rId33" Type="http://schemas.openxmlformats.org/officeDocument/2006/relationships/hyperlink" Target="https://forli.es/basic-steel/267-2159-BOSTON.html" TargetMode="External"/><Relationship Id="rId38" Type="http://schemas.openxmlformats.org/officeDocument/2006/relationships/hyperlink" Target="https://forli.es/basic-steel/267-2159-BOSTON.html" TargetMode="External"/><Relationship Id="rId46" Type="http://schemas.openxmlformats.org/officeDocument/2006/relationships/hyperlink" Target="https://forli.es/index.php?controller=attachment&amp;id_attachment=128" TargetMode="External"/><Relationship Id="rId59" Type="http://schemas.openxmlformats.org/officeDocument/2006/relationships/hyperlink" Target="https://forli.es/basic-steel/277-2289-DETROIT.html" TargetMode="External"/><Relationship Id="rId67" Type="http://schemas.openxmlformats.org/officeDocument/2006/relationships/hyperlink" Target="https://forli.es/basic-steel/277-2289-DETROIT.html" TargetMode="External"/><Relationship Id="rId20" Type="http://schemas.openxmlformats.org/officeDocument/2006/relationships/hyperlink" Target="https://forli.es/index.php?controller=attachment&amp;id_attachment=162" TargetMode="External"/><Relationship Id="rId41" Type="http://schemas.openxmlformats.org/officeDocument/2006/relationships/hyperlink" Target="https://forli.es/basic-steel/267-2159-BOSTON.html" TargetMode="External"/><Relationship Id="rId54" Type="http://schemas.openxmlformats.org/officeDocument/2006/relationships/hyperlink" Target="https://forli.es/index.php?controller=attachment&amp;id_attachment=128" TargetMode="External"/><Relationship Id="rId62" Type="http://schemas.openxmlformats.org/officeDocument/2006/relationships/hyperlink" Target="https://forli.es/basic-steel/277-2289-DETROIT.html" TargetMode="External"/><Relationship Id="rId70" Type="http://schemas.openxmlformats.org/officeDocument/2006/relationships/hyperlink" Target="https://forli.es/basic-steel/277-2289-DETROIT.html" TargetMode="External"/><Relationship Id="rId75" Type="http://schemas.openxmlformats.org/officeDocument/2006/relationships/hyperlink" Target="https://forli.es/neo-sanitario/345-3129-DOVERNG.html" TargetMode="External"/><Relationship Id="rId83" Type="http://schemas.openxmlformats.org/officeDocument/2006/relationships/hyperlink" Target="https://forli.es/neo-sanitario/345-3129-DOVERNG.html" TargetMode="External"/><Relationship Id="rId88" Type="http://schemas.openxmlformats.org/officeDocument/2006/relationships/hyperlink" Target="https://forli.es/inicio/386-cleveland-s5-ci-src.html" TargetMode="External"/><Relationship Id="rId91" Type="http://schemas.openxmlformats.org/officeDocument/2006/relationships/hyperlink" Target="https://forli.es/accesorios/365-10952-plantillapfm.html" TargetMode="External"/><Relationship Id="rId1" Type="http://schemas.openxmlformats.org/officeDocument/2006/relationships/hyperlink" Target="https://forli.es/calzado-de-seguridad-ocupacional/265-2131-ALASKA.html" TargetMode="External"/><Relationship Id="rId6" Type="http://schemas.openxmlformats.org/officeDocument/2006/relationships/hyperlink" Target="https://forli.es/calzado-de-seguridad-ocupacional/265-2131-ALASKA.html" TargetMode="External"/><Relationship Id="rId15" Type="http://schemas.openxmlformats.org/officeDocument/2006/relationships/hyperlink" Target="https://forli.es/index.php?controller=attachment&amp;id_attachment=162" TargetMode="External"/><Relationship Id="rId23" Type="http://schemas.openxmlformats.org/officeDocument/2006/relationships/hyperlink" Target="https://forli.es/index.php?controller=attachment&amp;id_attachment=162" TargetMode="External"/><Relationship Id="rId28" Type="http://schemas.openxmlformats.org/officeDocument/2006/relationships/hyperlink" Target="https://forli.es/index.php?controller=attachment&amp;id_attachment=162" TargetMode="External"/><Relationship Id="rId36" Type="http://schemas.openxmlformats.org/officeDocument/2006/relationships/hyperlink" Target="https://forli.es/basic-steel/267-2159-BOSTON.html" TargetMode="External"/><Relationship Id="rId49" Type="http://schemas.openxmlformats.org/officeDocument/2006/relationships/hyperlink" Target="https://forli.es/index.php?controller=attachment&amp;id_attachment=128" TargetMode="External"/><Relationship Id="rId57" Type="http://schemas.openxmlformats.org/officeDocument/2006/relationships/hyperlink" Target="https://forli.es/index.php?controller=attachment&amp;id_attachment=128" TargetMode="External"/><Relationship Id="rId10" Type="http://schemas.openxmlformats.org/officeDocument/2006/relationships/hyperlink" Target="https://forli.es/calzado-de-seguridad-ocupacional/265-2131-ALASKA.html" TargetMode="External"/><Relationship Id="rId31" Type="http://schemas.openxmlformats.org/officeDocument/2006/relationships/hyperlink" Target="https://forli.es/basic-steel/267-2159-BOSTON.html" TargetMode="External"/><Relationship Id="rId44" Type="http://schemas.openxmlformats.org/officeDocument/2006/relationships/hyperlink" Target="https://forli.es/basic-steel/267-2159-BOSTON.html" TargetMode="External"/><Relationship Id="rId52" Type="http://schemas.openxmlformats.org/officeDocument/2006/relationships/hyperlink" Target="https://forli.es/index.php?controller=attachment&amp;id_attachment=128" TargetMode="External"/><Relationship Id="rId60" Type="http://schemas.openxmlformats.org/officeDocument/2006/relationships/hyperlink" Target="https://forli.es/basic-steel/277-2289-DETROIT.html" TargetMode="External"/><Relationship Id="rId65" Type="http://schemas.openxmlformats.org/officeDocument/2006/relationships/hyperlink" Target="https://forli.es/basic-steel/277-2289-DETROIT.html" TargetMode="External"/><Relationship Id="rId73" Type="http://schemas.openxmlformats.org/officeDocument/2006/relationships/hyperlink" Target="https://forli.es/neo-sanitario/345-3129-DOVERNG.html" TargetMode="External"/><Relationship Id="rId78" Type="http://schemas.openxmlformats.org/officeDocument/2006/relationships/hyperlink" Target="https://forli.es/neo-sanitario/345-3129-DOVERNG.html" TargetMode="External"/><Relationship Id="rId81" Type="http://schemas.openxmlformats.org/officeDocument/2006/relationships/hyperlink" Target="https://forli.es/neo-sanitario/345-3129-DOVERNG.html" TargetMode="External"/><Relationship Id="rId86" Type="http://schemas.openxmlformats.org/officeDocument/2006/relationships/hyperlink" Target="https://forli.es/neo-sanitario/374-11068-DELTA.html" TargetMode="External"/><Relationship Id="rId4" Type="http://schemas.openxmlformats.org/officeDocument/2006/relationships/hyperlink" Target="https://forli.es/calzado-de-seguridad-ocupacional/265-2131-ALASKA.html" TargetMode="External"/><Relationship Id="rId9" Type="http://schemas.openxmlformats.org/officeDocument/2006/relationships/hyperlink" Target="https://forli.es/calzado-de-seguridad-ocupacional/265-2131-ALASKA.html" TargetMode="External"/><Relationship Id="rId13" Type="http://schemas.openxmlformats.org/officeDocument/2006/relationships/hyperlink" Target="https://forli.es/calzado-de-seguridad-ocupacional/265-2131-ALASKA.html" TargetMode="External"/><Relationship Id="rId18" Type="http://schemas.openxmlformats.org/officeDocument/2006/relationships/hyperlink" Target="https://forli.es/index.php?controller=attachment&amp;id_attachment=162" TargetMode="External"/><Relationship Id="rId39" Type="http://schemas.openxmlformats.org/officeDocument/2006/relationships/hyperlink" Target="https://forli.es/basic-steel/267-2159-BOSTON.html" TargetMode="External"/><Relationship Id="rId34" Type="http://schemas.openxmlformats.org/officeDocument/2006/relationships/hyperlink" Target="https://forli.es/basic-steel/267-2159-BOSTON.html" TargetMode="External"/><Relationship Id="rId50" Type="http://schemas.openxmlformats.org/officeDocument/2006/relationships/hyperlink" Target="https://forli.es/index.php?controller=attachment&amp;id_attachment=128" TargetMode="External"/><Relationship Id="rId55" Type="http://schemas.openxmlformats.org/officeDocument/2006/relationships/hyperlink" Target="https://forli.es/index.php?controller=attachment&amp;id_attachment=128" TargetMode="External"/><Relationship Id="rId76" Type="http://schemas.openxmlformats.org/officeDocument/2006/relationships/hyperlink" Target="https://forli.es/neo-sanitario/345-3129-DOVERNG.html" TargetMode="External"/><Relationship Id="rId7" Type="http://schemas.openxmlformats.org/officeDocument/2006/relationships/hyperlink" Target="https://forli.es/calzado-de-seguridad-ocupacional/265-2131-ALASKA.html" TargetMode="External"/><Relationship Id="rId71" Type="http://schemas.openxmlformats.org/officeDocument/2006/relationships/hyperlink" Target="https://forli.es/neo-sanitario/345-3129-DOVERNG.html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s://forli.es/calzado-de-seguridad-ocupacional/265-2131-ALASKA.html" TargetMode="External"/><Relationship Id="rId29" Type="http://schemas.openxmlformats.org/officeDocument/2006/relationships/hyperlink" Target="https://forli.es/evolution/373-11054-TEXAS.html" TargetMode="External"/><Relationship Id="rId24" Type="http://schemas.openxmlformats.org/officeDocument/2006/relationships/hyperlink" Target="https://forli.es/index.php?controller=attachment&amp;id_attachment=162" TargetMode="External"/><Relationship Id="rId40" Type="http://schemas.openxmlformats.org/officeDocument/2006/relationships/hyperlink" Target="https://forli.es/basic-steel/267-2159-BOSTON.html" TargetMode="External"/><Relationship Id="rId45" Type="http://schemas.openxmlformats.org/officeDocument/2006/relationships/hyperlink" Target="https://forli.es/basic-steel/267-2159-BOSTON.html" TargetMode="External"/><Relationship Id="rId66" Type="http://schemas.openxmlformats.org/officeDocument/2006/relationships/hyperlink" Target="https://forli.es/basic-steel/277-2289-DETROIT.html" TargetMode="External"/><Relationship Id="rId87" Type="http://schemas.openxmlformats.org/officeDocument/2006/relationships/hyperlink" Target="https://forli.es/inicio/386-cleveland-s5-ci-src.html" TargetMode="External"/><Relationship Id="rId61" Type="http://schemas.openxmlformats.org/officeDocument/2006/relationships/hyperlink" Target="https://forli.es/basic-steel/277-2289-DETROIT.html" TargetMode="External"/><Relationship Id="rId82" Type="http://schemas.openxmlformats.org/officeDocument/2006/relationships/hyperlink" Target="https://forli.es/neo-sanitario/345-3129-DOVERNG.html" TargetMode="External"/><Relationship Id="rId19" Type="http://schemas.openxmlformats.org/officeDocument/2006/relationships/hyperlink" Target="https://forli.es/index.php?controller=attachment&amp;id_attachment=16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orli.es/flex-esd/285-2387-CHEROKEE.html%23/27-talla-35/50-color-camel" TargetMode="External"/><Relationship Id="rId18" Type="http://schemas.openxmlformats.org/officeDocument/2006/relationships/hyperlink" Target="https://forli.es/neo-sanitario/374-11068-DELTA.html%23/27-talla-35/48-color-blanco" TargetMode="External"/><Relationship Id="rId26" Type="http://schemas.openxmlformats.org/officeDocument/2006/relationships/hyperlink" Target="https://forli.es/trekking/347-3157-SAVANAH.html%23/27-talla-35/42-color-negro_black" TargetMode="External"/><Relationship Id="rId39" Type="http://schemas.openxmlformats.org/officeDocument/2006/relationships/hyperlink" Target="https://forli.es/hydro/408-11418-CLEVELAND.html%23/28-talla-36/57-color-verde_oscuro" TargetMode="External"/><Relationship Id="rId21" Type="http://schemas.openxmlformats.org/officeDocument/2006/relationships/hyperlink" Target="https://forli.es/rider/284-2373-ROCK.html%23/27-talla-35/42-color-negro_black" TargetMode="External"/><Relationship Id="rId34" Type="http://schemas.openxmlformats.org/officeDocument/2006/relationships/hyperlink" Target="https://forli.es/medium-metal-free/266-2145-ATLANTA.html%23/27-talla-35/42-color-negro_black" TargetMode="External"/><Relationship Id="rId42" Type="http://schemas.openxmlformats.org/officeDocument/2006/relationships/hyperlink" Target="https://forli.es/basic-steel/277-2289-DETROIT.html%23/28-talla-36/42-color-negro_black" TargetMode="External"/><Relationship Id="rId47" Type="http://schemas.openxmlformats.org/officeDocument/2006/relationships/hyperlink" Target="https://forli.es/basic-metal-free/367-10970-OREGON.html%23/27-talla-35/42-color-negro_black" TargetMode="External"/><Relationship Id="rId7" Type="http://schemas.openxmlformats.org/officeDocument/2006/relationships/hyperlink" Target="https://forli.es/soft/407-11404-SIDNEY.html%23/27-talla-35/42-color-negro_black" TargetMode="External"/><Relationship Id="rId2" Type="http://schemas.openxmlformats.org/officeDocument/2006/relationships/hyperlink" Target="https://forli.es/evolution/341-3073-HOUSTONAZ.html%23/27-talla-35/43-color-azul" TargetMode="External"/><Relationship Id="rId16" Type="http://schemas.openxmlformats.org/officeDocument/2006/relationships/hyperlink" Target="https://forli.es/neo-sanitario/344-3115-DOVERBL.html%23/27-talla-35/48-color-blanco" TargetMode="External"/><Relationship Id="rId29" Type="http://schemas.openxmlformats.org/officeDocument/2006/relationships/hyperlink" Target="https://forli.es/white-metal-free/339-3045-FARGO.html%23/27-talla-35/48-color-blanco" TargetMode="External"/><Relationship Id="rId11" Type="http://schemas.openxmlformats.org/officeDocument/2006/relationships/hyperlink" Target="https://forli.es/flex-esd/273-2237-DENVER.html%23/27-talla-35/42-color-negro_black" TargetMode="External"/><Relationship Id="rId24" Type="http://schemas.openxmlformats.org/officeDocument/2006/relationships/hyperlink" Target="https://forli.es/trekking/342-3087-COLORADO.html%23/27-talla-35/42-color-negro_black" TargetMode="External"/><Relationship Id="rId32" Type="http://schemas.openxmlformats.org/officeDocument/2006/relationships/hyperlink" Target="https://forli.es/white-metal-free/364-10938-PHILADELPHIA.html%23/27-talla-35/48-color-blanco" TargetMode="External"/><Relationship Id="rId37" Type="http://schemas.openxmlformats.org/officeDocument/2006/relationships/hyperlink" Target="https://forli.es/medium-metal-free/370-11012-OXFORD.html%23/27-talla-35/42-color-negro_black" TargetMode="External"/><Relationship Id="rId40" Type="http://schemas.openxmlformats.org/officeDocument/2006/relationships/hyperlink" Target="https://forli.es/basic-steel/267-2159-BOSTON.html%23/27-talla-35/42-color-negro_black" TargetMode="External"/><Relationship Id="rId45" Type="http://schemas.openxmlformats.org/officeDocument/2006/relationships/hyperlink" Target="https://forli.es/basic-metal-free/280-2329-PORTLAND.html%23/27-talla-35/42-color-negro_black" TargetMode="External"/><Relationship Id="rId5" Type="http://schemas.openxmlformats.org/officeDocument/2006/relationships/hyperlink" Target="https://forli.es/soft/409-11431-HARLEM.html%23/27-talla-35/58-color-rojo" TargetMode="External"/><Relationship Id="rId15" Type="http://schemas.openxmlformats.org/officeDocument/2006/relationships/hyperlink" Target="https://forli.es/neo-sanitario/343-3101-VEGAS.html%23/27-talla-35/42-color-negro_black" TargetMode="External"/><Relationship Id="rId23" Type="http://schemas.openxmlformats.org/officeDocument/2006/relationships/hyperlink" Target="https://forli.es/calzado-de-seguridad-ocupacional/371-11026-indiana.html%23/27-talla-35/42-color-negro_black" TargetMode="External"/><Relationship Id="rId28" Type="http://schemas.openxmlformats.org/officeDocument/2006/relationships/hyperlink" Target="https://forli.es/white-metal-free/338-3031-RENO.html%23/27-talla-35/48-color-blanco" TargetMode="External"/><Relationship Id="rId36" Type="http://schemas.openxmlformats.org/officeDocument/2006/relationships/hyperlink" Target="https://forli.es/medium-metal-free/270-2201-VIRGINIA.html%23/27-talla-35/42-color-negro_black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forli.es/calzado-de-seguridad-ocupacional/265-2131-ALASKA.html%23/27-talla-35/42-color-negro_black" TargetMode="External"/><Relationship Id="rId19" Type="http://schemas.openxmlformats.org/officeDocument/2006/relationships/hyperlink" Target="https://forli.es/neo-sanitario/375-11082-TUCSON.html%23/27-talla-35/42-color-negro_black" TargetMode="External"/><Relationship Id="rId31" Type="http://schemas.openxmlformats.org/officeDocument/2006/relationships/hyperlink" Target="https://forli.es/white-metal-free/363-10924-YORKNG.html%23/27-talla-35/42-color-negro_black" TargetMode="External"/><Relationship Id="rId44" Type="http://schemas.openxmlformats.org/officeDocument/2006/relationships/hyperlink" Target="https://forli.es/basic-steel/291-2471-AUSTIN.html%23/27-talla-35/41-color-gris" TargetMode="External"/><Relationship Id="rId4" Type="http://schemas.openxmlformats.org/officeDocument/2006/relationships/hyperlink" Target="https://forli.es/evolution/373-11054-TEXAS.html%23/27-talla-35/41-color-gris" TargetMode="External"/><Relationship Id="rId9" Type="http://schemas.openxmlformats.org/officeDocument/2006/relationships/hyperlink" Target="https://forli.es/flex-esd/283-2365-FLORIDA.html%23/26-talla-34/42-color-negro_black" TargetMode="External"/><Relationship Id="rId14" Type="http://schemas.openxmlformats.org/officeDocument/2006/relationships/hyperlink" Target="https://forli.es/flex-esd/285-2387-CHEROKEE.html%23/27-talla-35/50-color-camel" TargetMode="External"/><Relationship Id="rId22" Type="http://schemas.openxmlformats.org/officeDocument/2006/relationships/hyperlink" Target="https://forli.es/rider/403-11348-MEMPHIS.html%23/27-talla-35/42-color-negro_black" TargetMode="External"/><Relationship Id="rId27" Type="http://schemas.openxmlformats.org/officeDocument/2006/relationships/hyperlink" Target="https://forli.es/calzado-de-seguridad-ocupacional/337-3017-FRESNO.html%23/27-talla-35/48-color-blanco" TargetMode="External"/><Relationship Id="rId30" Type="http://schemas.openxmlformats.org/officeDocument/2006/relationships/hyperlink" Target="https://forli.es/white-metal-free/362-10910-YORKBL.html%23/27-talla-35/48-color-blanco" TargetMode="External"/><Relationship Id="rId35" Type="http://schemas.openxmlformats.org/officeDocument/2006/relationships/hyperlink" Target="https://forli.es/medium-metal-free/276-2275-MIAMI.html%23/27-talla-35/42-color-negro_black" TargetMode="External"/><Relationship Id="rId43" Type="http://schemas.openxmlformats.org/officeDocument/2006/relationships/hyperlink" Target="https://forli.es/basic-steel/278-2301-KANSAS.html%23/27-talla-35/41-color-gris" TargetMode="External"/><Relationship Id="rId48" Type="http://schemas.openxmlformats.org/officeDocument/2006/relationships/hyperlink" Target="https://forli.es/basic-metal-free/268-2173-BUFFALO.html%23/27-talla-35/42-color-negro_black" TargetMode="External"/><Relationship Id="rId8" Type="http://schemas.openxmlformats.org/officeDocument/2006/relationships/hyperlink" Target="https://forli.es/flex-esd/272-2223-NEVADA.html%23/27-talla-35/42-color-negro_black" TargetMode="External"/><Relationship Id="rId3" Type="http://schemas.openxmlformats.org/officeDocument/2006/relationships/hyperlink" Target="https://forli.es/evolution/372-11040-ASPEN.html%23/27-talla-35/41-color-gris" TargetMode="External"/><Relationship Id="rId12" Type="http://schemas.openxmlformats.org/officeDocument/2006/relationships/hyperlink" Target="https://forli.es/flex-esd/285-2387-CHEROKEE.html%23/27-talla-35/50-color-camel" TargetMode="External"/><Relationship Id="rId17" Type="http://schemas.openxmlformats.org/officeDocument/2006/relationships/hyperlink" Target="https://forli.es/neo-sanitario/345-3129-DOVERNG.html%23/27-talla-35/42-color-negro_black" TargetMode="External"/><Relationship Id="rId25" Type="http://schemas.openxmlformats.org/officeDocument/2006/relationships/hyperlink" Target="https://forli.es/trekking/346-3143-COLUMBIA.html%23/27-talla-35/42-color-negro_black" TargetMode="External"/><Relationship Id="rId33" Type="http://schemas.openxmlformats.org/officeDocument/2006/relationships/hyperlink" Target="https://forli.es/white-metal-free/364-10938-PHILADELPHIA.html%23/27-talla-35/48-color-blanco" TargetMode="External"/><Relationship Id="rId38" Type="http://schemas.openxmlformats.org/officeDocument/2006/relationships/hyperlink" Target="https://forli.es/hydro/412-11473-BALTIMORE.html%23/28-talla-36/48-color-blanco" TargetMode="External"/><Relationship Id="rId46" Type="http://schemas.openxmlformats.org/officeDocument/2006/relationships/hyperlink" Target="https://forli.es/s3/281-2343-MICHIGAN.html%23/27-talla-35/42-color-negro_black" TargetMode="External"/><Relationship Id="rId20" Type="http://schemas.openxmlformats.org/officeDocument/2006/relationships/hyperlink" Target="https://forli.es/rider/286-2401-SIOUX.html%23/27-talla-35/42-color-negro_black" TargetMode="External"/><Relationship Id="rId41" Type="http://schemas.openxmlformats.org/officeDocument/2006/relationships/hyperlink" Target="https://forli.es/basic-steel/269-2187-CHICAGO.html%23/27-talla-35/42-color-negro_black" TargetMode="External"/><Relationship Id="rId1" Type="http://schemas.openxmlformats.org/officeDocument/2006/relationships/hyperlink" Target="https://forli.es/evolution/340-10327-HOUSTONAM.html%23/26-talla-34/42-color-negro_black" TargetMode="External"/><Relationship Id="rId6" Type="http://schemas.openxmlformats.org/officeDocument/2006/relationships/hyperlink" Target="https://forli.es/soft/405-11376-BRONX.html%23/27-talla-35/42-color-negro_bl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9449-EE2C-402F-A256-EEC7BA31FD8E}">
  <dimension ref="A3:A108"/>
  <sheetViews>
    <sheetView topLeftCell="A76" workbookViewId="0">
      <selection activeCell="D49" sqref="D49"/>
    </sheetView>
  </sheetViews>
  <sheetFormatPr baseColWidth="10" defaultRowHeight="15" x14ac:dyDescent="0.25"/>
  <cols>
    <col min="1" max="1" width="22.7109375" bestFit="1" customWidth="1"/>
    <col min="2" max="2" width="18" bestFit="1" customWidth="1"/>
  </cols>
  <sheetData>
    <row r="3" spans="1:1" x14ac:dyDescent="0.25">
      <c r="A3" s="25" t="s">
        <v>2362</v>
      </c>
    </row>
    <row r="4" spans="1:1" x14ac:dyDescent="0.25">
      <c r="A4" s="26" t="s">
        <v>2216</v>
      </c>
    </row>
    <row r="5" spans="1:1" x14ac:dyDescent="0.25">
      <c r="A5" s="27" t="s">
        <v>2326</v>
      </c>
    </row>
    <row r="6" spans="1:1" x14ac:dyDescent="0.25">
      <c r="A6" s="26" t="s">
        <v>2217</v>
      </c>
    </row>
    <row r="7" spans="1:1" x14ac:dyDescent="0.25">
      <c r="A7" s="27" t="s">
        <v>2326</v>
      </c>
    </row>
    <row r="8" spans="1:1" x14ac:dyDescent="0.25">
      <c r="A8" s="26" t="s">
        <v>2218</v>
      </c>
    </row>
    <row r="9" spans="1:1" x14ac:dyDescent="0.25">
      <c r="A9" s="27" t="s">
        <v>2359</v>
      </c>
    </row>
    <row r="10" spans="1:1" x14ac:dyDescent="0.25">
      <c r="A10" s="26" t="s">
        <v>2219</v>
      </c>
    </row>
    <row r="11" spans="1:1" x14ac:dyDescent="0.25">
      <c r="A11" s="27" t="s">
        <v>2326</v>
      </c>
    </row>
    <row r="12" spans="1:1" x14ac:dyDescent="0.25">
      <c r="A12" s="26" t="s">
        <v>2220</v>
      </c>
    </row>
    <row r="13" spans="1:1" x14ac:dyDescent="0.25">
      <c r="A13" s="27" t="s">
        <v>2326</v>
      </c>
    </row>
    <row r="14" spans="1:1" x14ac:dyDescent="0.25">
      <c r="A14" s="26" t="s">
        <v>2221</v>
      </c>
    </row>
    <row r="15" spans="1:1" x14ac:dyDescent="0.25">
      <c r="A15" s="27" t="s">
        <v>2359</v>
      </c>
    </row>
    <row r="16" spans="1:1" x14ac:dyDescent="0.25">
      <c r="A16" s="26" t="s">
        <v>2222</v>
      </c>
    </row>
    <row r="17" spans="1:1" x14ac:dyDescent="0.25">
      <c r="A17" s="27" t="s">
        <v>2326</v>
      </c>
    </row>
    <row r="18" spans="1:1" x14ac:dyDescent="0.25">
      <c r="A18" s="26" t="s">
        <v>2223</v>
      </c>
    </row>
    <row r="19" spans="1:1" x14ac:dyDescent="0.25">
      <c r="A19" s="27" t="s">
        <v>2359</v>
      </c>
    </row>
    <row r="20" spans="1:1" x14ac:dyDescent="0.25">
      <c r="A20" s="26" t="s">
        <v>2224</v>
      </c>
    </row>
    <row r="21" spans="1:1" x14ac:dyDescent="0.25">
      <c r="A21" s="27" t="s">
        <v>2326</v>
      </c>
    </row>
    <row r="22" spans="1:1" x14ac:dyDescent="0.25">
      <c r="A22" s="26" t="s">
        <v>2225</v>
      </c>
    </row>
    <row r="23" spans="1:1" x14ac:dyDescent="0.25">
      <c r="A23" s="27" t="s">
        <v>2359</v>
      </c>
    </row>
    <row r="24" spans="1:1" x14ac:dyDescent="0.25">
      <c r="A24" s="26" t="s">
        <v>2226</v>
      </c>
    </row>
    <row r="25" spans="1:1" x14ac:dyDescent="0.25">
      <c r="A25" s="27" t="s">
        <v>2359</v>
      </c>
    </row>
    <row r="26" spans="1:1" x14ac:dyDescent="0.25">
      <c r="A26" s="26" t="s">
        <v>2227</v>
      </c>
    </row>
    <row r="27" spans="1:1" x14ac:dyDescent="0.25">
      <c r="A27" s="27" t="s">
        <v>2359</v>
      </c>
    </row>
    <row r="28" spans="1:1" x14ac:dyDescent="0.25">
      <c r="A28" s="26" t="s">
        <v>2228</v>
      </c>
    </row>
    <row r="29" spans="1:1" x14ac:dyDescent="0.25">
      <c r="A29" s="27" t="s">
        <v>2326</v>
      </c>
    </row>
    <row r="30" spans="1:1" x14ac:dyDescent="0.25">
      <c r="A30" s="26" t="s">
        <v>2229</v>
      </c>
    </row>
    <row r="31" spans="1:1" x14ac:dyDescent="0.25">
      <c r="A31" s="27" t="s">
        <v>2326</v>
      </c>
    </row>
    <row r="32" spans="1:1" x14ac:dyDescent="0.25">
      <c r="A32" s="26" t="s">
        <v>2230</v>
      </c>
    </row>
    <row r="33" spans="1:1" x14ac:dyDescent="0.25">
      <c r="A33" s="27" t="s">
        <v>2326</v>
      </c>
    </row>
    <row r="34" spans="1:1" x14ac:dyDescent="0.25">
      <c r="A34" s="26" t="s">
        <v>2231</v>
      </c>
    </row>
    <row r="35" spans="1:1" x14ac:dyDescent="0.25">
      <c r="A35" s="27" t="s">
        <v>2326</v>
      </c>
    </row>
    <row r="36" spans="1:1" x14ac:dyDescent="0.25">
      <c r="A36" s="26" t="s">
        <v>2232</v>
      </c>
    </row>
    <row r="37" spans="1:1" x14ac:dyDescent="0.25">
      <c r="A37" s="27" t="s">
        <v>2326</v>
      </c>
    </row>
    <row r="38" spans="1:1" x14ac:dyDescent="0.25">
      <c r="A38" s="26" t="s">
        <v>2233</v>
      </c>
    </row>
    <row r="39" spans="1:1" x14ac:dyDescent="0.25">
      <c r="A39" s="27" t="s">
        <v>2361</v>
      </c>
    </row>
    <row r="40" spans="1:1" x14ac:dyDescent="0.25">
      <c r="A40" s="26" t="s">
        <v>2234</v>
      </c>
    </row>
    <row r="41" spans="1:1" x14ac:dyDescent="0.25">
      <c r="A41" s="27" t="s">
        <v>2359</v>
      </c>
    </row>
    <row r="42" spans="1:1" x14ac:dyDescent="0.25">
      <c r="A42" s="26" t="s">
        <v>2235</v>
      </c>
    </row>
    <row r="43" spans="1:1" x14ac:dyDescent="0.25">
      <c r="A43" s="27" t="s">
        <v>2326</v>
      </c>
    </row>
    <row r="44" spans="1:1" x14ac:dyDescent="0.25">
      <c r="A44" s="26" t="s">
        <v>2236</v>
      </c>
    </row>
    <row r="45" spans="1:1" x14ac:dyDescent="0.25">
      <c r="A45" s="27" t="s">
        <v>2361</v>
      </c>
    </row>
    <row r="46" spans="1:1" x14ac:dyDescent="0.25">
      <c r="A46" s="26" t="s">
        <v>2237</v>
      </c>
    </row>
    <row r="47" spans="1:1" x14ac:dyDescent="0.25">
      <c r="A47" s="27" t="s">
        <v>2361</v>
      </c>
    </row>
    <row r="48" spans="1:1" x14ac:dyDescent="0.25">
      <c r="A48" s="26" t="s">
        <v>2238</v>
      </c>
    </row>
    <row r="49" spans="1:1" x14ac:dyDescent="0.25">
      <c r="A49" s="27" t="s">
        <v>2361</v>
      </c>
    </row>
    <row r="50" spans="1:1" x14ac:dyDescent="0.25">
      <c r="A50" s="26" t="s">
        <v>2239</v>
      </c>
    </row>
    <row r="51" spans="1:1" x14ac:dyDescent="0.25">
      <c r="A51" s="27" t="s">
        <v>2359</v>
      </c>
    </row>
    <row r="52" spans="1:1" x14ac:dyDescent="0.25">
      <c r="A52" s="26" t="s">
        <v>2240</v>
      </c>
    </row>
    <row r="53" spans="1:1" x14ac:dyDescent="0.25">
      <c r="A53" s="27" t="s">
        <v>2361</v>
      </c>
    </row>
    <row r="54" spans="1:1" x14ac:dyDescent="0.25">
      <c r="A54" s="26" t="s">
        <v>2241</v>
      </c>
    </row>
    <row r="55" spans="1:1" x14ac:dyDescent="0.25">
      <c r="A55" s="27" t="s">
        <v>2359</v>
      </c>
    </row>
    <row r="56" spans="1:1" x14ac:dyDescent="0.25">
      <c r="A56" s="26" t="s">
        <v>2242</v>
      </c>
    </row>
    <row r="57" spans="1:1" x14ac:dyDescent="0.25">
      <c r="A57" s="27" t="s">
        <v>2359</v>
      </c>
    </row>
    <row r="58" spans="1:1" x14ac:dyDescent="0.25">
      <c r="A58" s="26" t="s">
        <v>2243</v>
      </c>
    </row>
    <row r="59" spans="1:1" x14ac:dyDescent="0.25">
      <c r="A59" s="27" t="s">
        <v>2359</v>
      </c>
    </row>
    <row r="60" spans="1:1" x14ac:dyDescent="0.25">
      <c r="A60" s="26" t="s">
        <v>2244</v>
      </c>
    </row>
    <row r="61" spans="1:1" x14ac:dyDescent="0.25">
      <c r="A61" s="27" t="s">
        <v>2326</v>
      </c>
    </row>
    <row r="62" spans="1:1" x14ac:dyDescent="0.25">
      <c r="A62" s="26" t="s">
        <v>2245</v>
      </c>
    </row>
    <row r="63" spans="1:1" x14ac:dyDescent="0.25">
      <c r="A63" s="27" t="s">
        <v>2359</v>
      </c>
    </row>
    <row r="64" spans="1:1" x14ac:dyDescent="0.25">
      <c r="A64" s="26" t="s">
        <v>2246</v>
      </c>
    </row>
    <row r="65" spans="1:1" x14ac:dyDescent="0.25">
      <c r="A65" s="27" t="s">
        <v>2359</v>
      </c>
    </row>
    <row r="66" spans="1:1" x14ac:dyDescent="0.25">
      <c r="A66" s="26" t="s">
        <v>2247</v>
      </c>
    </row>
    <row r="67" spans="1:1" x14ac:dyDescent="0.25">
      <c r="A67" s="27" t="s">
        <v>2359</v>
      </c>
    </row>
    <row r="68" spans="1:1" x14ac:dyDescent="0.25">
      <c r="A68" s="26" t="s">
        <v>2248</v>
      </c>
    </row>
    <row r="69" spans="1:1" x14ac:dyDescent="0.25">
      <c r="A69" s="27" t="s">
        <v>2326</v>
      </c>
    </row>
    <row r="70" spans="1:1" x14ac:dyDescent="0.25">
      <c r="A70" s="26" t="s">
        <v>2249</v>
      </c>
    </row>
    <row r="71" spans="1:1" x14ac:dyDescent="0.25">
      <c r="A71" s="27" t="s">
        <v>2326</v>
      </c>
    </row>
    <row r="72" spans="1:1" x14ac:dyDescent="0.25">
      <c r="A72" s="26" t="s">
        <v>2250</v>
      </c>
    </row>
    <row r="73" spans="1:1" x14ac:dyDescent="0.25">
      <c r="A73" s="27" t="s">
        <v>2359</v>
      </c>
    </row>
    <row r="74" spans="1:1" x14ac:dyDescent="0.25">
      <c r="A74" s="26" t="s">
        <v>2251</v>
      </c>
    </row>
    <row r="75" spans="1:1" x14ac:dyDescent="0.25">
      <c r="A75" s="27" t="s">
        <v>2326</v>
      </c>
    </row>
    <row r="76" spans="1:1" x14ac:dyDescent="0.25">
      <c r="A76" s="26" t="s">
        <v>2252</v>
      </c>
    </row>
    <row r="77" spans="1:1" x14ac:dyDescent="0.25">
      <c r="A77" s="27" t="s">
        <v>2359</v>
      </c>
    </row>
    <row r="78" spans="1:1" x14ac:dyDescent="0.25">
      <c r="A78" s="26" t="s">
        <v>2253</v>
      </c>
    </row>
    <row r="79" spans="1:1" x14ac:dyDescent="0.25">
      <c r="A79" s="27" t="s">
        <v>2326</v>
      </c>
    </row>
    <row r="80" spans="1:1" x14ac:dyDescent="0.25">
      <c r="A80" s="26" t="s">
        <v>2254</v>
      </c>
    </row>
    <row r="81" spans="1:1" x14ac:dyDescent="0.25">
      <c r="A81" s="27" t="s">
        <v>2326</v>
      </c>
    </row>
    <row r="82" spans="1:1" x14ac:dyDescent="0.25">
      <c r="A82" s="26" t="s">
        <v>2255</v>
      </c>
    </row>
    <row r="83" spans="1:1" x14ac:dyDescent="0.25">
      <c r="A83" s="27" t="s">
        <v>2360</v>
      </c>
    </row>
    <row r="84" spans="1:1" x14ac:dyDescent="0.25">
      <c r="A84" s="26" t="s">
        <v>2256</v>
      </c>
    </row>
    <row r="85" spans="1:1" x14ac:dyDescent="0.25">
      <c r="A85" s="27" t="s">
        <v>2359</v>
      </c>
    </row>
    <row r="86" spans="1:1" x14ac:dyDescent="0.25">
      <c r="A86" s="26" t="s">
        <v>2257</v>
      </c>
    </row>
    <row r="87" spans="1:1" x14ac:dyDescent="0.25">
      <c r="A87" s="27" t="s">
        <v>2361</v>
      </c>
    </row>
    <row r="88" spans="1:1" x14ac:dyDescent="0.25">
      <c r="A88" s="26" t="s">
        <v>2258</v>
      </c>
    </row>
    <row r="89" spans="1:1" x14ac:dyDescent="0.25">
      <c r="A89" s="27" t="s">
        <v>2359</v>
      </c>
    </row>
    <row r="90" spans="1:1" x14ac:dyDescent="0.25">
      <c r="A90" s="26" t="s">
        <v>2259</v>
      </c>
    </row>
    <row r="91" spans="1:1" x14ac:dyDescent="0.25">
      <c r="A91" s="27" t="s">
        <v>2326</v>
      </c>
    </row>
    <row r="92" spans="1:1" x14ac:dyDescent="0.25">
      <c r="A92" s="26" t="s">
        <v>2260</v>
      </c>
    </row>
    <row r="93" spans="1:1" x14ac:dyDescent="0.25">
      <c r="A93" s="27" t="s">
        <v>2359</v>
      </c>
    </row>
    <row r="94" spans="1:1" x14ac:dyDescent="0.25">
      <c r="A94" s="26" t="s">
        <v>2261</v>
      </c>
    </row>
    <row r="95" spans="1:1" x14ac:dyDescent="0.25">
      <c r="A95" s="27" t="s">
        <v>2359</v>
      </c>
    </row>
    <row r="96" spans="1:1" x14ac:dyDescent="0.25">
      <c r="A96" s="26" t="s">
        <v>2262</v>
      </c>
    </row>
    <row r="97" spans="1:1" x14ac:dyDescent="0.25">
      <c r="A97" s="27" t="s">
        <v>2359</v>
      </c>
    </row>
    <row r="98" spans="1:1" x14ac:dyDescent="0.25">
      <c r="A98" s="26" t="s">
        <v>2263</v>
      </c>
    </row>
    <row r="99" spans="1:1" x14ac:dyDescent="0.25">
      <c r="A99" s="27" t="s">
        <v>2361</v>
      </c>
    </row>
    <row r="100" spans="1:1" x14ac:dyDescent="0.25">
      <c r="A100" s="26" t="s">
        <v>2264</v>
      </c>
    </row>
    <row r="101" spans="1:1" x14ac:dyDescent="0.25">
      <c r="A101" s="27" t="s">
        <v>2361</v>
      </c>
    </row>
    <row r="102" spans="1:1" x14ac:dyDescent="0.25">
      <c r="A102" s="26" t="s">
        <v>2265</v>
      </c>
    </row>
    <row r="103" spans="1:1" x14ac:dyDescent="0.25">
      <c r="A103" s="27" t="s">
        <v>2359</v>
      </c>
    </row>
    <row r="104" spans="1:1" x14ac:dyDescent="0.25">
      <c r="A104" s="26" t="s">
        <v>2266</v>
      </c>
    </row>
    <row r="105" spans="1:1" x14ac:dyDescent="0.25">
      <c r="A105" s="27" t="s">
        <v>2359</v>
      </c>
    </row>
    <row r="106" spans="1:1" x14ac:dyDescent="0.25">
      <c r="A106" s="26" t="s">
        <v>2267</v>
      </c>
    </row>
    <row r="107" spans="1:1" x14ac:dyDescent="0.25">
      <c r="A107" s="27" t="s">
        <v>2359</v>
      </c>
    </row>
    <row r="108" spans="1:1" x14ac:dyDescent="0.25">
      <c r="A108" s="26" t="s">
        <v>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A8CE-B3F1-4ECA-833B-5DA099E4385D}">
  <dimension ref="A1:U725"/>
  <sheetViews>
    <sheetView tabSelected="1" zoomScale="90" zoomScaleNormal="90" workbookViewId="0">
      <pane ySplit="1" topLeftCell="A2" activePane="bottomLeft" state="frozen"/>
      <selection pane="bottomLeft" activeCell="E26" sqref="E26"/>
    </sheetView>
  </sheetViews>
  <sheetFormatPr baseColWidth="10" defaultRowHeight="15" x14ac:dyDescent="0.25"/>
  <cols>
    <col min="1" max="1" width="20.5703125" bestFit="1" customWidth="1"/>
    <col min="2" max="2" width="20.5703125" customWidth="1"/>
    <col min="3" max="3" width="34.85546875" bestFit="1" customWidth="1"/>
    <col min="4" max="4" width="41.42578125" customWidth="1"/>
    <col min="5" max="5" width="41" customWidth="1"/>
    <col min="6" max="6" width="34.5703125" customWidth="1"/>
    <col min="7" max="7" width="23.42578125" customWidth="1"/>
    <col min="8" max="11" width="26.42578125" customWidth="1"/>
    <col min="12" max="12" width="14.5703125" bestFit="1" customWidth="1"/>
    <col min="13" max="13" width="37.28515625" bestFit="1" customWidth="1"/>
    <col min="14" max="14" width="14" bestFit="1" customWidth="1"/>
    <col min="15" max="15" width="20.28515625" bestFit="1" customWidth="1"/>
    <col min="16" max="16" width="22.140625" bestFit="1" customWidth="1"/>
    <col min="17" max="17" width="7.42578125" bestFit="1" customWidth="1"/>
    <col min="18" max="18" width="15.5703125" style="2" bestFit="1" customWidth="1"/>
    <col min="19" max="19" width="16.7109375" style="3" bestFit="1" customWidth="1"/>
    <col min="20" max="20" width="99.85546875" bestFit="1" customWidth="1"/>
    <col min="21" max="21" width="64.5703125" bestFit="1" customWidth="1"/>
  </cols>
  <sheetData>
    <row r="1" spans="1:21" x14ac:dyDescent="0.25">
      <c r="A1" t="s">
        <v>1393</v>
      </c>
      <c r="B1" s="5" t="s">
        <v>2215</v>
      </c>
      <c r="C1" t="s">
        <v>1394</v>
      </c>
      <c r="D1" t="s">
        <v>2268</v>
      </c>
      <c r="E1" s="5" t="s">
        <v>2269</v>
      </c>
      <c r="F1" s="5" t="s">
        <v>2270</v>
      </c>
      <c r="G1" s="5" t="s">
        <v>2323</v>
      </c>
      <c r="H1" s="5" t="s">
        <v>2374</v>
      </c>
      <c r="I1" s="5" t="s">
        <v>2375</v>
      </c>
      <c r="J1" s="5" t="s">
        <v>2324</v>
      </c>
      <c r="K1" s="5" t="s">
        <v>2325</v>
      </c>
      <c r="L1" t="s">
        <v>0</v>
      </c>
      <c r="M1" t="s">
        <v>1395</v>
      </c>
      <c r="N1" t="s">
        <v>1397</v>
      </c>
      <c r="O1" t="s">
        <v>1398</v>
      </c>
      <c r="P1" t="s">
        <v>1396</v>
      </c>
      <c r="Q1" t="s">
        <v>1</v>
      </c>
      <c r="R1" s="2" t="s">
        <v>682</v>
      </c>
      <c r="S1" s="3" t="s">
        <v>683</v>
      </c>
      <c r="T1" t="s">
        <v>1388</v>
      </c>
      <c r="U1" t="s">
        <v>3</v>
      </c>
    </row>
    <row r="2" spans="1:21" x14ac:dyDescent="0.25">
      <c r="A2" t="s">
        <v>4</v>
      </c>
      <c r="B2" t="s">
        <v>2216</v>
      </c>
      <c r="C2" t="s">
        <v>5</v>
      </c>
      <c r="D2" t="s">
        <v>1432</v>
      </c>
      <c r="E2" t="str">
        <f>+CONCATENATE(D2,". FABRICADO EN ",M2,". PUNTERA DE ",N2,". PLANTILLA ",O2,". SUELA DE ",P2)</f>
        <v>BOTA MF S3+CI+SRC+ESD Negro 35. FABRICADO EN MICROFIBRA ACABADO NOBUK. PUNTERA DE Fibra de vidrio. PLANTILLA Antiperforación textil. SUELA DE PU/PU DOBLE DENSIDAD</v>
      </c>
      <c r="F2" t="str">
        <f>PROPER(E2)</f>
        <v>Bota Mf S3+Ci+Src+Esd Negro 35. Fabricado En Microfibra Acabado Nobuk. Puntera De Fibra De Vidrio. Plantilla Antiperforación Textil. Suela De Pu/Pu Doble Densidad</v>
      </c>
      <c r="G2" s="24">
        <f>VLOOKUP(B2,Tabla1[],2,0)</f>
        <v>26</v>
      </c>
      <c r="H2" s="24">
        <f>+G2/0.72</f>
        <v>36.111111111111114</v>
      </c>
      <c r="I2" s="24">
        <f>+H2*1.21</f>
        <v>43.69444444444445</v>
      </c>
      <c r="J2" s="24" t="s">
        <v>2326</v>
      </c>
      <c r="K2" s="24" t="s">
        <v>2365</v>
      </c>
      <c r="L2" t="s">
        <v>1392</v>
      </c>
      <c r="M2" t="s">
        <v>1411</v>
      </c>
      <c r="N2" t="s">
        <v>1425</v>
      </c>
      <c r="O2" t="s">
        <v>1428</v>
      </c>
      <c r="P2" t="s">
        <v>1429</v>
      </c>
      <c r="Q2">
        <v>35</v>
      </c>
      <c r="R2" s="3">
        <v>8457780310713</v>
      </c>
      <c r="S2" s="3" t="s">
        <v>684</v>
      </c>
      <c r="T2" s="1" t="s">
        <v>1311</v>
      </c>
      <c r="U2" t="s">
        <v>1312</v>
      </c>
    </row>
    <row r="3" spans="1:21" x14ac:dyDescent="0.25">
      <c r="A3" t="s">
        <v>4</v>
      </c>
      <c r="B3" t="s">
        <v>2216</v>
      </c>
      <c r="C3" t="s">
        <v>6</v>
      </c>
      <c r="D3" t="s">
        <v>1433</v>
      </c>
      <c r="E3" t="str">
        <f>+CONCATENATE(D3,". FABRICADO EN ",M3,". PUNTERA DE ",N3,". PLANTILLA ",O3,". SUELA DE ",P3)</f>
        <v>BOTA MF S3+CI+SRC+ESD Negro 36. FABRICADO EN MICROFIBRA ACABADO NOBUK. PUNTERA DE Fibra de vidrio. PLANTILLA Antiperforación textil. SUELA DE PU/PU DOBLE DENSIDAD</v>
      </c>
      <c r="F3" t="str">
        <f>PROPER(E3)</f>
        <v>Bota Mf S3+Ci+Src+Esd Negro 36. Fabricado En Microfibra Acabado Nobuk. Puntera De Fibra De Vidrio. Plantilla Antiperforación Textil. Suela De Pu/Pu Doble Densidad</v>
      </c>
      <c r="G3" s="24">
        <f>VLOOKUP(B3,Tabla1[],2,0)</f>
        <v>26</v>
      </c>
      <c r="H3" s="24">
        <f>+G3/0.72</f>
        <v>36.111111111111114</v>
      </c>
      <c r="I3" s="24">
        <f>+H3*1.21</f>
        <v>43.69444444444445</v>
      </c>
      <c r="J3" s="24" t="s">
        <v>2326</v>
      </c>
      <c r="K3" s="24" t="s">
        <v>2365</v>
      </c>
      <c r="L3" t="s">
        <v>1392</v>
      </c>
      <c r="M3" t="s">
        <v>1411</v>
      </c>
      <c r="N3" t="s">
        <v>1425</v>
      </c>
      <c r="O3" t="s">
        <v>1428</v>
      </c>
      <c r="P3" t="s">
        <v>1429</v>
      </c>
      <c r="Q3">
        <v>36</v>
      </c>
      <c r="R3" s="2">
        <v>8457780310720</v>
      </c>
      <c r="S3" s="3" t="s">
        <v>685</v>
      </c>
      <c r="T3" s="1" t="s">
        <v>1311</v>
      </c>
      <c r="U3" t="s">
        <v>1312</v>
      </c>
    </row>
    <row r="4" spans="1:21" x14ac:dyDescent="0.25">
      <c r="A4" t="s">
        <v>4</v>
      </c>
      <c r="B4" t="s">
        <v>2216</v>
      </c>
      <c r="C4" t="s">
        <v>7</v>
      </c>
      <c r="D4" t="s">
        <v>1434</v>
      </c>
      <c r="E4" t="str">
        <f>+CONCATENATE(D4,". FABRICADO EN ",M4,". PUNTERA DE ",N4,". PLANTILLA ",O4,". SUELA DE ",P4)</f>
        <v>BOTA MF S3+CI+SRC+ESD Negro 37. FABRICADO EN MICROFIBRA ACABADO NOBUK. PUNTERA DE Fibra de vidrio. PLANTILLA Antiperforación textil. SUELA DE PU/PU DOBLE DENSIDAD</v>
      </c>
      <c r="F4" t="str">
        <f>PROPER(E4)</f>
        <v>Bota Mf S3+Ci+Src+Esd Negro 37. Fabricado En Microfibra Acabado Nobuk. Puntera De Fibra De Vidrio. Plantilla Antiperforación Textil. Suela De Pu/Pu Doble Densidad</v>
      </c>
      <c r="G4" s="24">
        <f>VLOOKUP(B4,Tabla1[],2,0)</f>
        <v>26</v>
      </c>
      <c r="H4" s="24">
        <f>+G4/0.72</f>
        <v>36.111111111111114</v>
      </c>
      <c r="I4" s="24">
        <f>+H4*1.21</f>
        <v>43.69444444444445</v>
      </c>
      <c r="J4" s="24" t="s">
        <v>2326</v>
      </c>
      <c r="K4" s="24" t="s">
        <v>2365</v>
      </c>
      <c r="L4" t="s">
        <v>1392</v>
      </c>
      <c r="M4" t="s">
        <v>1411</v>
      </c>
      <c r="N4" t="s">
        <v>1425</v>
      </c>
      <c r="O4" t="s">
        <v>1428</v>
      </c>
      <c r="P4" t="s">
        <v>1429</v>
      </c>
      <c r="Q4">
        <v>37</v>
      </c>
      <c r="R4" s="2">
        <v>8457780310737</v>
      </c>
      <c r="S4" s="3" t="s">
        <v>686</v>
      </c>
      <c r="T4" s="1" t="s">
        <v>1311</v>
      </c>
      <c r="U4" t="s">
        <v>1312</v>
      </c>
    </row>
    <row r="5" spans="1:21" x14ac:dyDescent="0.25">
      <c r="A5" t="s">
        <v>4</v>
      </c>
      <c r="B5" t="s">
        <v>2216</v>
      </c>
      <c r="C5" t="s">
        <v>8</v>
      </c>
      <c r="D5" t="s">
        <v>1435</v>
      </c>
      <c r="E5" t="str">
        <f>+CONCATENATE(D5,". FABRICADO EN ",M5,". PUNTERA DE ",N5,". PLANTILLA ",O5,". SUELA DE ",P5)</f>
        <v>BOTA MF S3+CI+SRC+ESD Negro 38. FABRICADO EN MICROFIBRA ACABADO NOBUK. PUNTERA DE Fibra de vidrio. PLANTILLA Antiperforación textil. SUELA DE PU/PU DOBLE DENSIDAD</v>
      </c>
      <c r="F5" t="str">
        <f>PROPER(E5)</f>
        <v>Bota Mf S3+Ci+Src+Esd Negro 38. Fabricado En Microfibra Acabado Nobuk. Puntera De Fibra De Vidrio. Plantilla Antiperforación Textil. Suela De Pu/Pu Doble Densidad</v>
      </c>
      <c r="G5" s="24">
        <f>VLOOKUP(B5,Tabla1[],2,0)</f>
        <v>26</v>
      </c>
      <c r="H5" s="24">
        <f>+G5/0.72</f>
        <v>36.111111111111114</v>
      </c>
      <c r="I5" s="24">
        <f>+H5*1.21</f>
        <v>43.69444444444445</v>
      </c>
      <c r="J5" s="24" t="s">
        <v>2326</v>
      </c>
      <c r="K5" s="24" t="s">
        <v>2365</v>
      </c>
      <c r="L5" t="s">
        <v>1392</v>
      </c>
      <c r="M5" t="s">
        <v>1411</v>
      </c>
      <c r="N5" t="s">
        <v>1425</v>
      </c>
      <c r="O5" t="s">
        <v>1428</v>
      </c>
      <c r="P5" t="s">
        <v>1429</v>
      </c>
      <c r="Q5">
        <v>38</v>
      </c>
      <c r="R5" s="2">
        <v>8457780310744</v>
      </c>
      <c r="S5" s="3" t="s">
        <v>687</v>
      </c>
      <c r="T5" s="1" t="s">
        <v>1311</v>
      </c>
      <c r="U5" t="s">
        <v>1312</v>
      </c>
    </row>
    <row r="6" spans="1:21" x14ac:dyDescent="0.25">
      <c r="A6" t="s">
        <v>4</v>
      </c>
      <c r="B6" t="s">
        <v>2216</v>
      </c>
      <c r="C6" t="s">
        <v>9</v>
      </c>
      <c r="D6" t="s">
        <v>1436</v>
      </c>
      <c r="E6" t="str">
        <f>+CONCATENATE(D6,". FABRICADO EN ",M6,". PUNTERA DE ",N6,". PLANTILLA ",O6,". SUELA DE ",P6)</f>
        <v>BOTA MF S3+CI+SRC+ESD Negro 39. FABRICADO EN MICROFIBRA ACABADO NOBUK. PUNTERA DE Fibra de vidrio. PLANTILLA Antiperforación textil. SUELA DE PU/PU DOBLE DENSIDAD</v>
      </c>
      <c r="F6" t="str">
        <f>PROPER(E6)</f>
        <v>Bota Mf S3+Ci+Src+Esd Negro 39. Fabricado En Microfibra Acabado Nobuk. Puntera De Fibra De Vidrio. Plantilla Antiperforación Textil. Suela De Pu/Pu Doble Densidad</v>
      </c>
      <c r="G6" s="24">
        <f>VLOOKUP(B6,Tabla1[],2,0)</f>
        <v>26</v>
      </c>
      <c r="H6" s="24">
        <f>+G6/0.72</f>
        <v>36.111111111111114</v>
      </c>
      <c r="I6" s="24">
        <f>+H6*1.21</f>
        <v>43.69444444444445</v>
      </c>
      <c r="J6" s="24" t="s">
        <v>2326</v>
      </c>
      <c r="K6" s="24" t="s">
        <v>2365</v>
      </c>
      <c r="L6" t="s">
        <v>1392</v>
      </c>
      <c r="M6" t="s">
        <v>1411</v>
      </c>
      <c r="N6" t="s">
        <v>1425</v>
      </c>
      <c r="O6" t="s">
        <v>1428</v>
      </c>
      <c r="P6" t="s">
        <v>1429</v>
      </c>
      <c r="Q6">
        <v>39</v>
      </c>
      <c r="R6" s="2">
        <v>8457780310751</v>
      </c>
      <c r="S6" s="3" t="s">
        <v>688</v>
      </c>
      <c r="T6" s="1" t="s">
        <v>1311</v>
      </c>
      <c r="U6" t="s">
        <v>1312</v>
      </c>
    </row>
    <row r="7" spans="1:21" x14ac:dyDescent="0.25">
      <c r="A7" t="s">
        <v>4</v>
      </c>
      <c r="B7" t="s">
        <v>2216</v>
      </c>
      <c r="C7" t="s">
        <v>10</v>
      </c>
      <c r="D7" t="s">
        <v>1437</v>
      </c>
      <c r="E7" t="str">
        <f>+CONCATENATE(D7,". FABRICADO EN ",M7,". PUNTERA DE ",N7,". PLANTILLA ",O7,". SUELA DE ",P7)</f>
        <v>BOTA MF S3+CI+SRC+ESD Negro 40. FABRICADO EN MICROFIBRA ACABADO NOBUK. PUNTERA DE Fibra de vidrio. PLANTILLA Antiperforación textil. SUELA DE PU/PU DOBLE DENSIDAD</v>
      </c>
      <c r="F7" t="str">
        <f>PROPER(E7)</f>
        <v>Bota Mf S3+Ci+Src+Esd Negro 40. Fabricado En Microfibra Acabado Nobuk. Puntera De Fibra De Vidrio. Plantilla Antiperforación Textil. Suela De Pu/Pu Doble Densidad</v>
      </c>
      <c r="G7" s="24">
        <f>VLOOKUP(B7,Tabla1[],2,0)</f>
        <v>26</v>
      </c>
      <c r="H7" s="24">
        <f>+G7/0.72</f>
        <v>36.111111111111114</v>
      </c>
      <c r="I7" s="24">
        <f>+H7*1.21</f>
        <v>43.69444444444445</v>
      </c>
      <c r="J7" s="24" t="s">
        <v>2326</v>
      </c>
      <c r="K7" s="24" t="s">
        <v>2365</v>
      </c>
      <c r="L7" t="s">
        <v>1392</v>
      </c>
      <c r="M7" t="s">
        <v>1411</v>
      </c>
      <c r="N7" t="s">
        <v>1425</v>
      </c>
      <c r="O7" t="s">
        <v>1428</v>
      </c>
      <c r="P7" t="s">
        <v>1429</v>
      </c>
      <c r="Q7">
        <v>40</v>
      </c>
      <c r="R7" s="2">
        <v>8457780310768</v>
      </c>
      <c r="S7" s="3" t="s">
        <v>689</v>
      </c>
      <c r="T7" s="1" t="s">
        <v>1311</v>
      </c>
      <c r="U7" t="s">
        <v>1312</v>
      </c>
    </row>
    <row r="8" spans="1:21" x14ac:dyDescent="0.25">
      <c r="A8" t="s">
        <v>4</v>
      </c>
      <c r="B8" t="s">
        <v>2216</v>
      </c>
      <c r="C8" t="s">
        <v>11</v>
      </c>
      <c r="D8" t="s">
        <v>1438</v>
      </c>
      <c r="E8" t="str">
        <f>+CONCATENATE(D8,". FABRICADO EN ",M8,". PUNTERA DE ",N8,". PLANTILLA ",O8,". SUELA DE ",P8)</f>
        <v>BOTA MF S3+CI+SRC+ESD Negro 41. FABRICADO EN MICROFIBRA ACABADO NOBUK. PUNTERA DE Fibra de vidrio. PLANTILLA Antiperforación textil. SUELA DE PU/PU DOBLE DENSIDAD</v>
      </c>
      <c r="F8" t="str">
        <f>PROPER(E8)</f>
        <v>Bota Mf S3+Ci+Src+Esd Negro 41. Fabricado En Microfibra Acabado Nobuk. Puntera De Fibra De Vidrio. Plantilla Antiperforación Textil. Suela De Pu/Pu Doble Densidad</v>
      </c>
      <c r="G8" s="24">
        <f>VLOOKUP(B8,Tabla1[],2,0)</f>
        <v>26</v>
      </c>
      <c r="H8" s="24">
        <f>+G8/0.72</f>
        <v>36.111111111111114</v>
      </c>
      <c r="I8" s="24">
        <f>+H8*1.21</f>
        <v>43.69444444444445</v>
      </c>
      <c r="J8" s="24" t="s">
        <v>2326</v>
      </c>
      <c r="K8" s="24" t="s">
        <v>2365</v>
      </c>
      <c r="L8" t="s">
        <v>1392</v>
      </c>
      <c r="M8" t="s">
        <v>1411</v>
      </c>
      <c r="N8" t="s">
        <v>1425</v>
      </c>
      <c r="O8" t="s">
        <v>1428</v>
      </c>
      <c r="P8" t="s">
        <v>1429</v>
      </c>
      <c r="Q8">
        <v>41</v>
      </c>
      <c r="R8" s="2">
        <v>8457780310775</v>
      </c>
      <c r="S8" s="3" t="s">
        <v>690</v>
      </c>
      <c r="T8" s="1" t="s">
        <v>1311</v>
      </c>
      <c r="U8" t="s">
        <v>1312</v>
      </c>
    </row>
    <row r="9" spans="1:21" x14ac:dyDescent="0.25">
      <c r="A9" t="s">
        <v>4</v>
      </c>
      <c r="B9" t="s">
        <v>2216</v>
      </c>
      <c r="C9" t="s">
        <v>12</v>
      </c>
      <c r="D9" t="s">
        <v>1439</v>
      </c>
      <c r="E9" t="str">
        <f>+CONCATENATE(D9,". FABRICADO EN ",M9,". PUNTERA DE ",N9,". PLANTILLA ",O9,". SUELA DE ",P9)</f>
        <v>BOTA MF S3+CI+SRC+ESD Negro 42. FABRICADO EN MICROFIBRA ACABADO NOBUK. PUNTERA DE Fibra de vidrio. PLANTILLA Antiperforación textil. SUELA DE PU/PU DOBLE DENSIDAD</v>
      </c>
      <c r="F9" t="str">
        <f>PROPER(E9)</f>
        <v>Bota Mf S3+Ci+Src+Esd Negro 42. Fabricado En Microfibra Acabado Nobuk. Puntera De Fibra De Vidrio. Plantilla Antiperforación Textil. Suela De Pu/Pu Doble Densidad</v>
      </c>
      <c r="G9" s="24">
        <f>VLOOKUP(B9,Tabla1[],2,0)</f>
        <v>26</v>
      </c>
      <c r="H9" s="24">
        <f>+G9/0.72</f>
        <v>36.111111111111114</v>
      </c>
      <c r="I9" s="24">
        <f>+H9*1.21</f>
        <v>43.69444444444445</v>
      </c>
      <c r="J9" s="24" t="s">
        <v>2326</v>
      </c>
      <c r="K9" s="24" t="s">
        <v>2365</v>
      </c>
      <c r="L9" t="s">
        <v>1392</v>
      </c>
      <c r="M9" t="s">
        <v>1411</v>
      </c>
      <c r="N9" t="s">
        <v>1425</v>
      </c>
      <c r="O9" t="s">
        <v>1428</v>
      </c>
      <c r="P9" t="s">
        <v>1429</v>
      </c>
      <c r="Q9">
        <v>42</v>
      </c>
      <c r="R9" s="2">
        <v>8457780310782</v>
      </c>
      <c r="S9" s="3" t="s">
        <v>691</v>
      </c>
      <c r="T9" s="1" t="s">
        <v>1311</v>
      </c>
      <c r="U9" t="s">
        <v>1312</v>
      </c>
    </row>
    <row r="10" spans="1:21" x14ac:dyDescent="0.25">
      <c r="A10" t="s">
        <v>4</v>
      </c>
      <c r="B10" t="s">
        <v>2216</v>
      </c>
      <c r="C10" t="s">
        <v>13</v>
      </c>
      <c r="D10" t="s">
        <v>1440</v>
      </c>
      <c r="E10" t="str">
        <f>+CONCATENATE(D10,". FABRICADO EN ",M10,". PUNTERA DE ",N10,". PLANTILLA ",O10,". SUELA DE ",P10)</f>
        <v>BOTA MF S3+CI+SRC+ESD Negro 43. FABRICADO EN MICROFIBRA ACABADO NOBUK. PUNTERA DE Fibra de vidrio. PLANTILLA Antiperforación textil. SUELA DE PU/PU DOBLE DENSIDAD</v>
      </c>
      <c r="F10" t="str">
        <f>PROPER(E10)</f>
        <v>Bota Mf S3+Ci+Src+Esd Negro 43. Fabricado En Microfibra Acabado Nobuk. Puntera De Fibra De Vidrio. Plantilla Antiperforación Textil. Suela De Pu/Pu Doble Densidad</v>
      </c>
      <c r="G10" s="24">
        <f>VLOOKUP(B10,Tabla1[],2,0)</f>
        <v>26</v>
      </c>
      <c r="H10" s="24">
        <f>+G10/0.72</f>
        <v>36.111111111111114</v>
      </c>
      <c r="I10" s="24">
        <f>+H10*1.21</f>
        <v>43.69444444444445</v>
      </c>
      <c r="J10" s="24" t="s">
        <v>2326</v>
      </c>
      <c r="K10" s="24" t="s">
        <v>2365</v>
      </c>
      <c r="L10" t="s">
        <v>1392</v>
      </c>
      <c r="M10" t="s">
        <v>1411</v>
      </c>
      <c r="N10" t="s">
        <v>1425</v>
      </c>
      <c r="O10" t="s">
        <v>1428</v>
      </c>
      <c r="P10" t="s">
        <v>1429</v>
      </c>
      <c r="Q10">
        <v>43</v>
      </c>
      <c r="R10" s="2">
        <v>8457780310799</v>
      </c>
      <c r="S10" s="3" t="s">
        <v>692</v>
      </c>
      <c r="T10" s="1" t="s">
        <v>1311</v>
      </c>
      <c r="U10" t="s">
        <v>1312</v>
      </c>
    </row>
    <row r="11" spans="1:21" x14ac:dyDescent="0.25">
      <c r="A11" t="s">
        <v>4</v>
      </c>
      <c r="B11" t="s">
        <v>2216</v>
      </c>
      <c r="C11" t="s">
        <v>14</v>
      </c>
      <c r="D11" t="s">
        <v>1441</v>
      </c>
      <c r="E11" t="str">
        <f>+CONCATENATE(D11,". FABRICADO EN ",M11,". PUNTERA DE ",N11,". PLANTILLA ",O11,". SUELA DE ",P11)</f>
        <v>BOTA MF S3+CI+SRC+ESD Negro 44. FABRICADO EN MICROFIBRA ACABADO NOBUK. PUNTERA DE Fibra de vidrio. PLANTILLA Antiperforación textil. SUELA DE PU/PU DOBLE DENSIDAD</v>
      </c>
      <c r="F11" t="str">
        <f>PROPER(E11)</f>
        <v>Bota Mf S3+Ci+Src+Esd Negro 44. Fabricado En Microfibra Acabado Nobuk. Puntera De Fibra De Vidrio. Plantilla Antiperforación Textil. Suela De Pu/Pu Doble Densidad</v>
      </c>
      <c r="G11" s="24">
        <f>VLOOKUP(B11,Tabla1[],2,0)</f>
        <v>26</v>
      </c>
      <c r="H11" s="24">
        <f>+G11/0.72</f>
        <v>36.111111111111114</v>
      </c>
      <c r="I11" s="24">
        <f>+H11*1.21</f>
        <v>43.69444444444445</v>
      </c>
      <c r="J11" s="24" t="s">
        <v>2326</v>
      </c>
      <c r="K11" s="24" t="s">
        <v>2365</v>
      </c>
      <c r="L11" t="s">
        <v>1392</v>
      </c>
      <c r="M11" t="s">
        <v>1411</v>
      </c>
      <c r="N11" t="s">
        <v>1425</v>
      </c>
      <c r="O11" t="s">
        <v>1428</v>
      </c>
      <c r="P11" t="s">
        <v>1429</v>
      </c>
      <c r="Q11">
        <v>44</v>
      </c>
      <c r="R11" s="2">
        <v>8457780310805</v>
      </c>
      <c r="S11" s="3" t="s">
        <v>693</v>
      </c>
      <c r="T11" s="1" t="s">
        <v>1311</v>
      </c>
      <c r="U11" t="s">
        <v>1312</v>
      </c>
    </row>
    <row r="12" spans="1:21" x14ac:dyDescent="0.25">
      <c r="A12" t="s">
        <v>4</v>
      </c>
      <c r="B12" t="s">
        <v>2216</v>
      </c>
      <c r="C12" t="s">
        <v>15</v>
      </c>
      <c r="D12" t="s">
        <v>1442</v>
      </c>
      <c r="E12" t="str">
        <f>+CONCATENATE(D12,". FABRICADO EN ",M12,". PUNTERA DE ",N12,". PLANTILLA ",O12,". SUELA DE ",P12)</f>
        <v>BOTA MF S3+CI+SRC+ESD Negro 45. FABRICADO EN MICROFIBRA ACABADO NOBUK. PUNTERA DE Fibra de vidrio. PLANTILLA Antiperforación textil. SUELA DE PU/PU DOBLE DENSIDAD</v>
      </c>
      <c r="F12" t="str">
        <f>PROPER(E12)</f>
        <v>Bota Mf S3+Ci+Src+Esd Negro 45. Fabricado En Microfibra Acabado Nobuk. Puntera De Fibra De Vidrio. Plantilla Antiperforación Textil. Suela De Pu/Pu Doble Densidad</v>
      </c>
      <c r="G12" s="24">
        <f>VLOOKUP(B12,Tabla1[],2,0)</f>
        <v>26</v>
      </c>
      <c r="H12" s="24">
        <f>+G12/0.72</f>
        <v>36.111111111111114</v>
      </c>
      <c r="I12" s="24">
        <f>+H12*1.21</f>
        <v>43.69444444444445</v>
      </c>
      <c r="J12" s="24" t="s">
        <v>2326</v>
      </c>
      <c r="K12" s="24" t="s">
        <v>2365</v>
      </c>
      <c r="L12" t="s">
        <v>1392</v>
      </c>
      <c r="M12" t="s">
        <v>1411</v>
      </c>
      <c r="N12" t="s">
        <v>1425</v>
      </c>
      <c r="O12" t="s">
        <v>1428</v>
      </c>
      <c r="P12" t="s">
        <v>1429</v>
      </c>
      <c r="Q12">
        <v>45</v>
      </c>
      <c r="R12" s="2">
        <v>8457780310812</v>
      </c>
      <c r="S12" s="3" t="s">
        <v>694</v>
      </c>
      <c r="T12" s="1" t="s">
        <v>1311</v>
      </c>
      <c r="U12" t="s">
        <v>1312</v>
      </c>
    </row>
    <row r="13" spans="1:21" x14ac:dyDescent="0.25">
      <c r="A13" t="s">
        <v>4</v>
      </c>
      <c r="B13" t="s">
        <v>2216</v>
      </c>
      <c r="C13" t="s">
        <v>16</v>
      </c>
      <c r="D13" t="s">
        <v>1443</v>
      </c>
      <c r="E13" t="str">
        <f>+CONCATENATE(D13,". FABRICADO EN ",M13,". PUNTERA DE ",N13,". PLANTILLA ",O13,". SUELA DE ",P13)</f>
        <v>BOTA MF S3+CI+SRC+ESD Negro 46. FABRICADO EN MICROFIBRA ACABADO NOBUK. PUNTERA DE Fibra de vidrio. PLANTILLA Antiperforación textil. SUELA DE PU/PU DOBLE DENSIDAD</v>
      </c>
      <c r="F13" t="str">
        <f>PROPER(E13)</f>
        <v>Bota Mf S3+Ci+Src+Esd Negro 46. Fabricado En Microfibra Acabado Nobuk. Puntera De Fibra De Vidrio. Plantilla Antiperforación Textil. Suela De Pu/Pu Doble Densidad</v>
      </c>
      <c r="G13" s="24">
        <f>VLOOKUP(B13,Tabla1[],2,0)</f>
        <v>26</v>
      </c>
      <c r="H13" s="24">
        <f>+G13/0.72</f>
        <v>36.111111111111114</v>
      </c>
      <c r="I13" s="24">
        <f>+H13*1.21</f>
        <v>43.69444444444445</v>
      </c>
      <c r="J13" s="24" t="s">
        <v>2326</v>
      </c>
      <c r="K13" s="24" t="s">
        <v>2365</v>
      </c>
      <c r="L13" t="s">
        <v>1392</v>
      </c>
      <c r="M13" t="s">
        <v>1411</v>
      </c>
      <c r="N13" t="s">
        <v>1425</v>
      </c>
      <c r="O13" t="s">
        <v>1428</v>
      </c>
      <c r="P13" t="s">
        <v>1429</v>
      </c>
      <c r="Q13">
        <v>46</v>
      </c>
      <c r="R13" s="2">
        <v>8457780310829</v>
      </c>
      <c r="S13" s="3" t="s">
        <v>695</v>
      </c>
      <c r="T13" s="1" t="s">
        <v>1311</v>
      </c>
      <c r="U13" t="s">
        <v>1312</v>
      </c>
    </row>
    <row r="14" spans="1:21" x14ac:dyDescent="0.25">
      <c r="A14" t="s">
        <v>4</v>
      </c>
      <c r="B14" t="s">
        <v>2216</v>
      </c>
      <c r="C14" t="s">
        <v>17</v>
      </c>
      <c r="D14" t="s">
        <v>1444</v>
      </c>
      <c r="E14" t="str">
        <f>+CONCATENATE(D14,". FABRICADO EN ",M14,". PUNTERA DE ",N14,". PLANTILLA ",O14,". SUELA DE ",P14)</f>
        <v>BOTA MF S3+CI+SRC+ESD Negro 47. FABRICADO EN MICROFIBRA ACABADO NOBUK. PUNTERA DE Fibra de vidrio. PLANTILLA Antiperforación textil. SUELA DE PU/PU DOBLE DENSIDAD</v>
      </c>
      <c r="F14" t="str">
        <f>PROPER(E14)</f>
        <v>Bota Mf S3+Ci+Src+Esd Negro 47. Fabricado En Microfibra Acabado Nobuk. Puntera De Fibra De Vidrio. Plantilla Antiperforación Textil. Suela De Pu/Pu Doble Densidad</v>
      </c>
      <c r="G14" s="24">
        <f>VLOOKUP(B14,Tabla1[],2,0)</f>
        <v>26</v>
      </c>
      <c r="H14" s="24">
        <f>+G14/0.72</f>
        <v>36.111111111111114</v>
      </c>
      <c r="I14" s="24">
        <f>+H14*1.21</f>
        <v>43.69444444444445</v>
      </c>
      <c r="J14" s="24" t="s">
        <v>2326</v>
      </c>
      <c r="K14" s="24" t="s">
        <v>2365</v>
      </c>
      <c r="L14" t="s">
        <v>1392</v>
      </c>
      <c r="M14" t="s">
        <v>1411</v>
      </c>
      <c r="N14" t="s">
        <v>1425</v>
      </c>
      <c r="O14" t="s">
        <v>1428</v>
      </c>
      <c r="P14" t="s">
        <v>1429</v>
      </c>
      <c r="Q14">
        <v>47</v>
      </c>
      <c r="R14" s="2">
        <v>8457780310836</v>
      </c>
      <c r="S14" s="3" t="s">
        <v>696</v>
      </c>
      <c r="T14" s="1" t="s">
        <v>1311</v>
      </c>
      <c r="U14" t="s">
        <v>1312</v>
      </c>
    </row>
    <row r="15" spans="1:21" x14ac:dyDescent="0.25">
      <c r="A15" t="s">
        <v>4</v>
      </c>
      <c r="B15" t="s">
        <v>2216</v>
      </c>
      <c r="C15" t="s">
        <v>18</v>
      </c>
      <c r="D15" t="s">
        <v>1445</v>
      </c>
      <c r="E15" t="str">
        <f>+CONCATENATE(D15,". FABRICADO EN ",M15,". PUNTERA DE ",N15,". PLANTILLA ",O15,". SUELA DE ",P15)</f>
        <v>BOTA MF S3+CI+SRC+ESD Negro 48. FABRICADO EN MICROFIBRA ACABADO NOBUK. PUNTERA DE Fibra de vidrio. PLANTILLA Antiperforación textil. SUELA DE PU/PU DOBLE DENSIDAD</v>
      </c>
      <c r="F15" t="str">
        <f>PROPER(E15)</f>
        <v>Bota Mf S3+Ci+Src+Esd Negro 48. Fabricado En Microfibra Acabado Nobuk. Puntera De Fibra De Vidrio. Plantilla Antiperforación Textil. Suela De Pu/Pu Doble Densidad</v>
      </c>
      <c r="G15" s="24">
        <f>VLOOKUP(B15,Tabla1[],2,0)</f>
        <v>26</v>
      </c>
      <c r="H15" s="24">
        <f>+G15/0.72</f>
        <v>36.111111111111114</v>
      </c>
      <c r="I15" s="24">
        <f>+H15*1.21</f>
        <v>43.69444444444445</v>
      </c>
      <c r="J15" s="24" t="s">
        <v>2326</v>
      </c>
      <c r="K15" s="24" t="s">
        <v>2365</v>
      </c>
      <c r="L15" t="s">
        <v>1392</v>
      </c>
      <c r="M15" t="s">
        <v>1411</v>
      </c>
      <c r="N15" t="s">
        <v>1425</v>
      </c>
      <c r="O15" t="s">
        <v>1428</v>
      </c>
      <c r="P15" t="s">
        <v>1429</v>
      </c>
      <c r="Q15">
        <v>48</v>
      </c>
      <c r="R15" s="2">
        <v>8457780310843</v>
      </c>
      <c r="S15" s="3" t="s">
        <v>697</v>
      </c>
      <c r="T15" s="1" t="s">
        <v>1311</v>
      </c>
      <c r="U15" t="s">
        <v>1312</v>
      </c>
    </row>
    <row r="16" spans="1:21" x14ac:dyDescent="0.25">
      <c r="A16" t="s">
        <v>4</v>
      </c>
      <c r="B16" t="s">
        <v>2216</v>
      </c>
      <c r="C16" t="s">
        <v>2019</v>
      </c>
      <c r="D16" t="s">
        <v>2020</v>
      </c>
      <c r="E16" t="str">
        <f>+CONCATENATE(D16,". FABRICADO EN ",M16,". PUNTERA DE ",N16,". PLANTILLA ",O16,". SUELA DE ",P16)</f>
        <v>BOTA MF S3+CI+SRC+ESD Negro 49. FABRICADO EN MICROFIBRA ACABADO NOBUK. PUNTERA DE Fibra de vidrio. PLANTILLA Antiperforación textil. SUELA DE PU/PU DOBLE DENSIDAD</v>
      </c>
      <c r="F16" t="str">
        <f>PROPER(E16)</f>
        <v>Bota Mf S3+Ci+Src+Esd Negro 49. Fabricado En Microfibra Acabado Nobuk. Puntera De Fibra De Vidrio. Plantilla Antiperforación Textil. Suela De Pu/Pu Doble Densidad</v>
      </c>
      <c r="G16" s="24">
        <f>VLOOKUP(B16,Tabla1[],2,0)</f>
        <v>26</v>
      </c>
      <c r="H16" s="24">
        <f>+G16/0.72</f>
        <v>36.111111111111114</v>
      </c>
      <c r="I16" s="24">
        <f>+H16*1.21</f>
        <v>43.69444444444445</v>
      </c>
      <c r="J16" s="24" t="s">
        <v>2326</v>
      </c>
      <c r="K16" s="24" t="s">
        <v>2365</v>
      </c>
      <c r="L16" t="s">
        <v>1392</v>
      </c>
      <c r="M16" t="s">
        <v>1411</v>
      </c>
      <c r="N16" t="s">
        <v>1425</v>
      </c>
      <c r="O16" t="s">
        <v>1428</v>
      </c>
      <c r="P16" t="s">
        <v>1429</v>
      </c>
      <c r="Q16">
        <v>49</v>
      </c>
      <c r="R16" s="3">
        <v>8457780347177</v>
      </c>
      <c r="S16" s="3">
        <v>18457780347174</v>
      </c>
      <c r="T16" s="1" t="s">
        <v>1311</v>
      </c>
      <c r="U16" t="s">
        <v>2023</v>
      </c>
    </row>
    <row r="17" spans="1:21" x14ac:dyDescent="0.25">
      <c r="A17" t="s">
        <v>4</v>
      </c>
      <c r="B17" t="s">
        <v>2216</v>
      </c>
      <c r="C17" t="s">
        <v>2021</v>
      </c>
      <c r="D17" t="s">
        <v>2022</v>
      </c>
      <c r="E17" t="str">
        <f>+CONCATENATE(D17,". FABRICADO EN ",M17,". PUNTERA DE ",N17,". PLANTILLA ",O17,". SUELA DE ",P17)</f>
        <v>BOTA MF S3+CI+SRC+ESD Negro 50. FABRICADO EN MICROFIBRA ACABADO NOBUK. PUNTERA DE Fibra de vidrio. PLANTILLA Antiperforación textil. SUELA DE PU/PU DOBLE DENSIDAD</v>
      </c>
      <c r="F17" t="str">
        <f>PROPER(E17)</f>
        <v>Bota Mf S3+Ci+Src+Esd Negro 50. Fabricado En Microfibra Acabado Nobuk. Puntera De Fibra De Vidrio. Plantilla Antiperforación Textil. Suela De Pu/Pu Doble Densidad</v>
      </c>
      <c r="G17" s="24">
        <f>VLOOKUP(B17,Tabla1[],2,0)</f>
        <v>26</v>
      </c>
      <c r="H17" s="24">
        <f>+G17/0.72</f>
        <v>36.111111111111114</v>
      </c>
      <c r="I17" s="24">
        <f>+H17*1.21</f>
        <v>43.69444444444445</v>
      </c>
      <c r="J17" s="24" t="s">
        <v>2326</v>
      </c>
      <c r="K17" s="24" t="s">
        <v>2365</v>
      </c>
      <c r="L17" t="s">
        <v>1392</v>
      </c>
      <c r="M17" t="s">
        <v>1411</v>
      </c>
      <c r="N17" t="s">
        <v>1425</v>
      </c>
      <c r="O17" t="s">
        <v>1428</v>
      </c>
      <c r="P17" t="s">
        <v>1429</v>
      </c>
      <c r="Q17">
        <v>50</v>
      </c>
      <c r="R17" s="3">
        <v>8457780347184</v>
      </c>
      <c r="S17" s="3">
        <v>18457780347181</v>
      </c>
      <c r="T17" s="1" t="s">
        <v>1311</v>
      </c>
      <c r="U17" t="s">
        <v>2024</v>
      </c>
    </row>
    <row r="18" spans="1:21" x14ac:dyDescent="0.25">
      <c r="A18" t="s">
        <v>19</v>
      </c>
      <c r="B18" t="s">
        <v>2217</v>
      </c>
      <c r="C18" t="s">
        <v>20</v>
      </c>
      <c r="D18" t="s">
        <v>1446</v>
      </c>
      <c r="E18" t="str">
        <f>+CONCATENATE(D18,". FABRICADO EN ",M18,". PUNTERA DE ",N18,". PLANTILLA ",O18,". SUELA DE ",P18)</f>
        <v>BOTA S3S +CI+HI+ FO+HRO+SR+ESD Gris 35. FABRICADO EN MICROFIBRA ACABADO NOBUK. PUNTERA DE Fibra de vidrio. PLANTILLA Antiperforación textil. SUELA DE EVA/CAUCHO-NITRILO</v>
      </c>
      <c r="F18" t="str">
        <f>PROPER(E18)</f>
        <v>Bota S3S +Ci+Hi+ Fo+Hro+Sr+Esd Gris 35. Fabricado En Microfibra Acabado Nobuk. Puntera De Fibra De Vidrio. Plantilla Antiperforación Textil. Suela De Eva/Caucho-Nitrilo</v>
      </c>
      <c r="G18" s="24">
        <f>VLOOKUP(B18,Tabla1[],2,0)</f>
        <v>40.9</v>
      </c>
      <c r="H18" s="24">
        <f>+G18/0.72</f>
        <v>56.805555555555557</v>
      </c>
      <c r="I18" s="24">
        <f>+H18*1.21</f>
        <v>68.734722222222217</v>
      </c>
      <c r="J18" s="24" t="s">
        <v>2326</v>
      </c>
      <c r="K18" s="24" t="s">
        <v>2365</v>
      </c>
      <c r="L18" t="s">
        <v>1392</v>
      </c>
      <c r="M18" t="s">
        <v>1411</v>
      </c>
      <c r="N18" t="s">
        <v>1425</v>
      </c>
      <c r="O18" t="s">
        <v>1428</v>
      </c>
      <c r="P18" t="s">
        <v>1431</v>
      </c>
      <c r="Q18">
        <v>35</v>
      </c>
      <c r="R18" s="2">
        <v>8457780336980</v>
      </c>
      <c r="S18" s="3" t="s">
        <v>698</v>
      </c>
      <c r="T18" t="s">
        <v>1325</v>
      </c>
    </row>
    <row r="19" spans="1:21" x14ac:dyDescent="0.25">
      <c r="A19" t="s">
        <v>19</v>
      </c>
      <c r="B19" t="s">
        <v>2217</v>
      </c>
      <c r="C19" t="s">
        <v>21</v>
      </c>
      <c r="D19" t="s">
        <v>1447</v>
      </c>
      <c r="E19" t="str">
        <f>+CONCATENATE(D19,". FABRICADO EN ",M19,". PUNTERA DE ",N19,". PLANTILLA ",O19,". SUELA DE ",P19)</f>
        <v>BOTA S3S +CI+HI+ FO+HRO+SR+ESD Gris 36. FABRICADO EN MICROFIBRA ACABADO NOBUK. PUNTERA DE Fibra de vidrio. PLANTILLA Antiperforación textil. SUELA DE EVA/CAUCHO-NITRILO</v>
      </c>
      <c r="F19" t="str">
        <f>PROPER(E19)</f>
        <v>Bota S3S +Ci+Hi+ Fo+Hro+Sr+Esd Gris 36. Fabricado En Microfibra Acabado Nobuk. Puntera De Fibra De Vidrio. Plantilla Antiperforación Textil. Suela De Eva/Caucho-Nitrilo</v>
      </c>
      <c r="G19" s="24">
        <f>VLOOKUP(B19,Tabla1[],2,0)</f>
        <v>40.9</v>
      </c>
      <c r="H19" s="24">
        <f>+G19/0.72</f>
        <v>56.805555555555557</v>
      </c>
      <c r="I19" s="24">
        <f>+H19*1.21</f>
        <v>68.734722222222217</v>
      </c>
      <c r="J19" s="24" t="s">
        <v>2326</v>
      </c>
      <c r="K19" s="24" t="s">
        <v>2365</v>
      </c>
      <c r="L19" t="s">
        <v>1392</v>
      </c>
      <c r="M19" t="s">
        <v>1411</v>
      </c>
      <c r="N19" t="s">
        <v>1425</v>
      </c>
      <c r="O19" t="s">
        <v>1428</v>
      </c>
      <c r="P19" t="s">
        <v>1431</v>
      </c>
      <c r="Q19">
        <v>36</v>
      </c>
      <c r="R19" s="2">
        <v>8457780336997</v>
      </c>
      <c r="S19" s="3" t="s">
        <v>699</v>
      </c>
      <c r="T19" t="s">
        <v>1325</v>
      </c>
    </row>
    <row r="20" spans="1:21" x14ac:dyDescent="0.25">
      <c r="A20" t="s">
        <v>19</v>
      </c>
      <c r="B20" t="s">
        <v>2217</v>
      </c>
      <c r="C20" t="s">
        <v>22</v>
      </c>
      <c r="D20" t="s">
        <v>1448</v>
      </c>
      <c r="E20" t="str">
        <f>+CONCATENATE(D20,". FABRICADO EN ",M20,". PUNTERA DE ",N20,". PLANTILLA ",O20,". SUELA DE ",P20)</f>
        <v>BOTA S3S +CI+HI+ FO+HRO+SR+ESD Gris 37. FABRICADO EN MICROFIBRA ACABADO NOBUK. PUNTERA DE Fibra de vidrio. PLANTILLA Antiperforación textil. SUELA DE EVA/CAUCHO-NITRILO</v>
      </c>
      <c r="F20" t="str">
        <f>PROPER(E20)</f>
        <v>Bota S3S +Ci+Hi+ Fo+Hro+Sr+Esd Gris 37. Fabricado En Microfibra Acabado Nobuk. Puntera De Fibra De Vidrio. Plantilla Antiperforación Textil. Suela De Eva/Caucho-Nitrilo</v>
      </c>
      <c r="G20" s="24">
        <f>VLOOKUP(B20,Tabla1[],2,0)</f>
        <v>40.9</v>
      </c>
      <c r="H20" s="24">
        <f>+G20/0.72</f>
        <v>56.805555555555557</v>
      </c>
      <c r="I20" s="24">
        <f>+H20*1.21</f>
        <v>68.734722222222217</v>
      </c>
      <c r="J20" s="24" t="s">
        <v>2326</v>
      </c>
      <c r="K20" s="24" t="s">
        <v>2365</v>
      </c>
      <c r="L20" t="s">
        <v>1392</v>
      </c>
      <c r="M20" t="s">
        <v>1411</v>
      </c>
      <c r="N20" t="s">
        <v>1425</v>
      </c>
      <c r="O20" t="s">
        <v>1428</v>
      </c>
      <c r="P20" t="s">
        <v>1431</v>
      </c>
      <c r="Q20">
        <v>37</v>
      </c>
      <c r="R20" s="2">
        <v>8457780337000</v>
      </c>
      <c r="S20" s="3" t="s">
        <v>700</v>
      </c>
      <c r="T20" t="s">
        <v>1325</v>
      </c>
    </row>
    <row r="21" spans="1:21" x14ac:dyDescent="0.25">
      <c r="A21" t="s">
        <v>19</v>
      </c>
      <c r="B21" t="s">
        <v>2217</v>
      </c>
      <c r="C21" t="s">
        <v>23</v>
      </c>
      <c r="D21" t="s">
        <v>1449</v>
      </c>
      <c r="E21" t="str">
        <f>+CONCATENATE(D21,". FABRICADO EN ",M21,". PUNTERA DE ",N21,". PLANTILLA ",O21,". SUELA DE ",P21)</f>
        <v>BOTA S3S +CI+HI+ FO+HRO+SR+ESD Gris 38. FABRICADO EN MICROFIBRA ACABADO NOBUK. PUNTERA DE Fibra de vidrio. PLANTILLA Antiperforación textil. SUELA DE EVA/CAUCHO-NITRILO</v>
      </c>
      <c r="F21" t="str">
        <f>PROPER(E21)</f>
        <v>Bota S3S +Ci+Hi+ Fo+Hro+Sr+Esd Gris 38. Fabricado En Microfibra Acabado Nobuk. Puntera De Fibra De Vidrio. Plantilla Antiperforación Textil. Suela De Eva/Caucho-Nitrilo</v>
      </c>
      <c r="G21" s="24">
        <f>VLOOKUP(B21,Tabla1[],2,0)</f>
        <v>40.9</v>
      </c>
      <c r="H21" s="24">
        <f>+G21/0.72</f>
        <v>56.805555555555557</v>
      </c>
      <c r="I21" s="24">
        <f>+H21*1.21</f>
        <v>68.734722222222217</v>
      </c>
      <c r="J21" s="24" t="s">
        <v>2326</v>
      </c>
      <c r="K21" s="24" t="s">
        <v>2365</v>
      </c>
      <c r="L21" t="s">
        <v>1392</v>
      </c>
      <c r="M21" t="s">
        <v>1411</v>
      </c>
      <c r="N21" t="s">
        <v>1425</v>
      </c>
      <c r="O21" t="s">
        <v>1428</v>
      </c>
      <c r="P21" t="s">
        <v>1431</v>
      </c>
      <c r="Q21">
        <v>38</v>
      </c>
      <c r="R21" s="2">
        <v>8457780337017</v>
      </c>
      <c r="S21" s="3" t="s">
        <v>701</v>
      </c>
      <c r="T21" t="s">
        <v>1325</v>
      </c>
    </row>
    <row r="22" spans="1:21" x14ac:dyDescent="0.25">
      <c r="A22" t="s">
        <v>19</v>
      </c>
      <c r="B22" t="s">
        <v>2217</v>
      </c>
      <c r="C22" t="s">
        <v>24</v>
      </c>
      <c r="D22" t="s">
        <v>1450</v>
      </c>
      <c r="E22" t="str">
        <f>+CONCATENATE(D22,". FABRICADO EN ",M22,". PUNTERA DE ",N22,". PLANTILLA ",O22,". SUELA DE ",P22)</f>
        <v>BOTA S3S +CI+HI+ FO+HRO+SR+ESD Gris 39. FABRICADO EN MICROFIBRA ACABADO NOBUK. PUNTERA DE Fibra de vidrio. PLANTILLA Antiperforación textil. SUELA DE EVA/CAUCHO-NITRILO</v>
      </c>
      <c r="F22" t="str">
        <f>PROPER(E22)</f>
        <v>Bota S3S +Ci+Hi+ Fo+Hro+Sr+Esd Gris 39. Fabricado En Microfibra Acabado Nobuk. Puntera De Fibra De Vidrio. Plantilla Antiperforación Textil. Suela De Eva/Caucho-Nitrilo</v>
      </c>
      <c r="G22" s="24">
        <f>VLOOKUP(B22,Tabla1[],2,0)</f>
        <v>40.9</v>
      </c>
      <c r="H22" s="24">
        <f>+G22/0.72</f>
        <v>56.805555555555557</v>
      </c>
      <c r="I22" s="24">
        <f>+H22*1.21</f>
        <v>68.734722222222217</v>
      </c>
      <c r="J22" s="24" t="s">
        <v>2326</v>
      </c>
      <c r="K22" s="24" t="s">
        <v>2365</v>
      </c>
      <c r="L22" t="s">
        <v>1392</v>
      </c>
      <c r="M22" t="s">
        <v>1411</v>
      </c>
      <c r="N22" t="s">
        <v>1425</v>
      </c>
      <c r="O22" t="s">
        <v>1428</v>
      </c>
      <c r="P22" t="s">
        <v>1431</v>
      </c>
      <c r="Q22">
        <v>39</v>
      </c>
      <c r="R22" s="2">
        <v>8457780337024</v>
      </c>
      <c r="S22" s="3" t="s">
        <v>702</v>
      </c>
      <c r="T22" t="s">
        <v>1325</v>
      </c>
    </row>
    <row r="23" spans="1:21" x14ac:dyDescent="0.25">
      <c r="A23" t="s">
        <v>19</v>
      </c>
      <c r="B23" t="s">
        <v>2217</v>
      </c>
      <c r="C23" t="s">
        <v>25</v>
      </c>
      <c r="D23" t="s">
        <v>1451</v>
      </c>
      <c r="E23" t="str">
        <f>+CONCATENATE(D23,". FABRICADO EN ",M23,". PUNTERA DE ",N23,". PLANTILLA ",O23,". SUELA DE ",P23)</f>
        <v>BOTA S3S +CI+HI+ FO+HRO+SR+ESD Gris 40. FABRICADO EN MICROFIBRA ACABADO NOBUK. PUNTERA DE Fibra de vidrio. PLANTILLA Antiperforación textil. SUELA DE EVA/CAUCHO-NITRILO</v>
      </c>
      <c r="F23" t="str">
        <f>PROPER(E23)</f>
        <v>Bota S3S +Ci+Hi+ Fo+Hro+Sr+Esd Gris 40. Fabricado En Microfibra Acabado Nobuk. Puntera De Fibra De Vidrio. Plantilla Antiperforación Textil. Suela De Eva/Caucho-Nitrilo</v>
      </c>
      <c r="G23" s="24">
        <f>VLOOKUP(B23,Tabla1[],2,0)</f>
        <v>40.9</v>
      </c>
      <c r="H23" s="24">
        <f>+G23/0.72</f>
        <v>56.805555555555557</v>
      </c>
      <c r="I23" s="24">
        <f>+H23*1.21</f>
        <v>68.734722222222217</v>
      </c>
      <c r="J23" s="24" t="s">
        <v>2326</v>
      </c>
      <c r="K23" s="24" t="s">
        <v>2365</v>
      </c>
      <c r="L23" t="s">
        <v>1392</v>
      </c>
      <c r="M23" t="s">
        <v>1411</v>
      </c>
      <c r="N23" t="s">
        <v>1425</v>
      </c>
      <c r="O23" t="s">
        <v>1428</v>
      </c>
      <c r="P23" t="s">
        <v>1431</v>
      </c>
      <c r="Q23">
        <v>40</v>
      </c>
      <c r="R23" s="2">
        <v>8457780337031</v>
      </c>
      <c r="S23" s="3" t="s">
        <v>703</v>
      </c>
      <c r="T23" t="s">
        <v>1325</v>
      </c>
    </row>
    <row r="24" spans="1:21" x14ac:dyDescent="0.25">
      <c r="A24" t="s">
        <v>19</v>
      </c>
      <c r="B24" t="s">
        <v>2217</v>
      </c>
      <c r="C24" t="s">
        <v>26</v>
      </c>
      <c r="D24" t="s">
        <v>1452</v>
      </c>
      <c r="E24" t="str">
        <f>+CONCATENATE(D24,". FABRICADO EN ",M24,". PUNTERA DE ",N24,". PLANTILLA ",O24,". SUELA DE ",P24)</f>
        <v>BOTA S3S +CI+HI+ FO+HRO+SR+ESD Gris 41. FABRICADO EN MICROFIBRA ACABADO NOBUK. PUNTERA DE Fibra de vidrio. PLANTILLA Antiperforación textil. SUELA DE EVA/CAUCHO-NITRILO</v>
      </c>
      <c r="F24" t="str">
        <f>PROPER(E24)</f>
        <v>Bota S3S +Ci+Hi+ Fo+Hro+Sr+Esd Gris 41. Fabricado En Microfibra Acabado Nobuk. Puntera De Fibra De Vidrio. Plantilla Antiperforación Textil. Suela De Eva/Caucho-Nitrilo</v>
      </c>
      <c r="G24" s="24">
        <f>VLOOKUP(B24,Tabla1[],2,0)</f>
        <v>40.9</v>
      </c>
      <c r="H24" s="24">
        <f>+G24/0.72</f>
        <v>56.805555555555557</v>
      </c>
      <c r="I24" s="24">
        <f>+H24*1.21</f>
        <v>68.734722222222217</v>
      </c>
      <c r="J24" s="24" t="s">
        <v>2326</v>
      </c>
      <c r="K24" s="24" t="s">
        <v>2365</v>
      </c>
      <c r="L24" t="s">
        <v>1392</v>
      </c>
      <c r="M24" t="s">
        <v>1411</v>
      </c>
      <c r="N24" t="s">
        <v>1425</v>
      </c>
      <c r="O24" t="s">
        <v>1428</v>
      </c>
      <c r="P24" t="s">
        <v>1431</v>
      </c>
      <c r="Q24">
        <v>41</v>
      </c>
      <c r="R24" s="2">
        <v>8457780337048</v>
      </c>
      <c r="S24" s="3" t="s">
        <v>704</v>
      </c>
      <c r="T24" t="s">
        <v>1325</v>
      </c>
    </row>
    <row r="25" spans="1:21" x14ac:dyDescent="0.25">
      <c r="A25" t="s">
        <v>19</v>
      </c>
      <c r="B25" t="s">
        <v>2217</v>
      </c>
      <c r="C25" t="s">
        <v>27</v>
      </c>
      <c r="D25" t="s">
        <v>1453</v>
      </c>
      <c r="E25" t="str">
        <f>+CONCATENATE(D25,". FABRICADO EN ",M25,". PUNTERA DE ",N25,". PLANTILLA ",O25,". SUELA DE ",P25)</f>
        <v>BOTA S3S +CI+HI+ FO+HRO+SR+ESD Gris 42. FABRICADO EN MICROFIBRA ACABADO NOBUK. PUNTERA DE Fibra de vidrio. PLANTILLA Antiperforación textil. SUELA DE EVA/CAUCHO-NITRILO</v>
      </c>
      <c r="F25" t="str">
        <f>PROPER(E25)</f>
        <v>Bota S3S +Ci+Hi+ Fo+Hro+Sr+Esd Gris 42. Fabricado En Microfibra Acabado Nobuk. Puntera De Fibra De Vidrio. Plantilla Antiperforación Textil. Suela De Eva/Caucho-Nitrilo</v>
      </c>
      <c r="G25" s="24">
        <f>VLOOKUP(B25,Tabla1[],2,0)</f>
        <v>40.9</v>
      </c>
      <c r="H25" s="24">
        <f>+G25/0.72</f>
        <v>56.805555555555557</v>
      </c>
      <c r="I25" s="24">
        <f>+H25*1.21</f>
        <v>68.734722222222217</v>
      </c>
      <c r="J25" s="24" t="s">
        <v>2326</v>
      </c>
      <c r="K25" s="24" t="s">
        <v>2365</v>
      </c>
      <c r="L25" t="s">
        <v>1392</v>
      </c>
      <c r="M25" t="s">
        <v>1411</v>
      </c>
      <c r="N25" t="s">
        <v>1425</v>
      </c>
      <c r="O25" t="s">
        <v>1428</v>
      </c>
      <c r="P25" t="s">
        <v>1431</v>
      </c>
      <c r="Q25">
        <v>42</v>
      </c>
      <c r="R25" s="2">
        <v>8457780337055</v>
      </c>
      <c r="S25" s="3" t="s">
        <v>705</v>
      </c>
      <c r="T25" t="s">
        <v>1325</v>
      </c>
    </row>
    <row r="26" spans="1:21" x14ac:dyDescent="0.25">
      <c r="A26" t="s">
        <v>19</v>
      </c>
      <c r="B26" t="s">
        <v>2217</v>
      </c>
      <c r="C26" t="s">
        <v>28</v>
      </c>
      <c r="D26" t="s">
        <v>1454</v>
      </c>
      <c r="E26" t="str">
        <f>+CONCATENATE(D26,". FABRICADO EN ",M26,". PUNTERA DE ",N26,". PLANTILLA ",O26,". SUELA DE ",P26)</f>
        <v>BOTA S3S +CI+HI+ FO+HRO+SR+ESD Gris 43. FABRICADO EN MICROFIBRA ACABADO NOBUK. PUNTERA DE Fibra de vidrio. PLANTILLA Antiperforación textil. SUELA DE EVA/CAUCHO-NITRILO</v>
      </c>
      <c r="F26" t="str">
        <f>PROPER(E26)</f>
        <v>Bota S3S +Ci+Hi+ Fo+Hro+Sr+Esd Gris 43. Fabricado En Microfibra Acabado Nobuk. Puntera De Fibra De Vidrio. Plantilla Antiperforación Textil. Suela De Eva/Caucho-Nitrilo</v>
      </c>
      <c r="G26" s="24">
        <f>VLOOKUP(B26,Tabla1[],2,0)</f>
        <v>40.9</v>
      </c>
      <c r="H26" s="24">
        <f>+G26/0.72</f>
        <v>56.805555555555557</v>
      </c>
      <c r="I26" s="24">
        <f>+H26*1.21</f>
        <v>68.734722222222217</v>
      </c>
      <c r="J26" s="24" t="s">
        <v>2326</v>
      </c>
      <c r="K26" s="24" t="s">
        <v>2365</v>
      </c>
      <c r="L26" t="s">
        <v>1392</v>
      </c>
      <c r="M26" t="s">
        <v>1411</v>
      </c>
      <c r="N26" t="s">
        <v>1425</v>
      </c>
      <c r="O26" t="s">
        <v>1428</v>
      </c>
      <c r="P26" t="s">
        <v>1431</v>
      </c>
      <c r="Q26">
        <v>43</v>
      </c>
      <c r="R26" s="2">
        <v>8457780337062</v>
      </c>
      <c r="S26" s="3" t="s">
        <v>706</v>
      </c>
      <c r="T26" t="s">
        <v>1325</v>
      </c>
    </row>
    <row r="27" spans="1:21" x14ac:dyDescent="0.25">
      <c r="A27" t="s">
        <v>19</v>
      </c>
      <c r="B27" t="s">
        <v>2217</v>
      </c>
      <c r="C27" t="s">
        <v>29</v>
      </c>
      <c r="D27" t="s">
        <v>1455</v>
      </c>
      <c r="E27" t="str">
        <f>+CONCATENATE(D27,". FABRICADO EN ",M27,". PUNTERA DE ",N27,". PLANTILLA ",O27,". SUELA DE ",P27)</f>
        <v>BOTA S3S +CI+HI+ FO+HRO+SR+ESD Gris 44. FABRICADO EN MICROFIBRA ACABADO NOBUK. PUNTERA DE Fibra de vidrio. PLANTILLA Antiperforación textil. SUELA DE EVA/CAUCHO-NITRILO</v>
      </c>
      <c r="F27" t="str">
        <f>PROPER(E27)</f>
        <v>Bota S3S +Ci+Hi+ Fo+Hro+Sr+Esd Gris 44. Fabricado En Microfibra Acabado Nobuk. Puntera De Fibra De Vidrio. Plantilla Antiperforación Textil. Suela De Eva/Caucho-Nitrilo</v>
      </c>
      <c r="G27" s="24">
        <f>VLOOKUP(B27,Tabla1[],2,0)</f>
        <v>40.9</v>
      </c>
      <c r="H27" s="24">
        <f>+G27/0.72</f>
        <v>56.805555555555557</v>
      </c>
      <c r="I27" s="24">
        <f>+H27*1.21</f>
        <v>68.734722222222217</v>
      </c>
      <c r="J27" s="24" t="s">
        <v>2326</v>
      </c>
      <c r="K27" s="24" t="s">
        <v>2365</v>
      </c>
      <c r="L27" t="s">
        <v>1392</v>
      </c>
      <c r="M27" t="s">
        <v>1411</v>
      </c>
      <c r="N27" t="s">
        <v>1425</v>
      </c>
      <c r="O27" t="s">
        <v>1428</v>
      </c>
      <c r="P27" t="s">
        <v>1431</v>
      </c>
      <c r="Q27">
        <v>44</v>
      </c>
      <c r="R27" s="2">
        <v>8457780337079</v>
      </c>
      <c r="S27" s="3" t="s">
        <v>707</v>
      </c>
      <c r="T27" t="s">
        <v>1325</v>
      </c>
    </row>
    <row r="28" spans="1:21" x14ac:dyDescent="0.25">
      <c r="A28" t="s">
        <v>19</v>
      </c>
      <c r="B28" t="s">
        <v>2217</v>
      </c>
      <c r="C28" t="s">
        <v>30</v>
      </c>
      <c r="D28" t="s">
        <v>1456</v>
      </c>
      <c r="E28" t="str">
        <f>+CONCATENATE(D28,". FABRICADO EN ",M28,". PUNTERA DE ",N28,". PLANTILLA ",O28,". SUELA DE ",P28)</f>
        <v>BOTA S3S +CI+HI+ FO+HRO+SR+ESD Gris 45. FABRICADO EN MICROFIBRA ACABADO NOBUK. PUNTERA DE Fibra de vidrio. PLANTILLA Antiperforación textil. SUELA DE EVA/CAUCHO-NITRILO</v>
      </c>
      <c r="F28" t="str">
        <f>PROPER(E28)</f>
        <v>Bota S3S +Ci+Hi+ Fo+Hro+Sr+Esd Gris 45. Fabricado En Microfibra Acabado Nobuk. Puntera De Fibra De Vidrio. Plantilla Antiperforación Textil. Suela De Eva/Caucho-Nitrilo</v>
      </c>
      <c r="G28" s="24">
        <f>VLOOKUP(B28,Tabla1[],2,0)</f>
        <v>40.9</v>
      </c>
      <c r="H28" s="24">
        <f>+G28/0.72</f>
        <v>56.805555555555557</v>
      </c>
      <c r="I28" s="24">
        <f>+H28*1.21</f>
        <v>68.734722222222217</v>
      </c>
      <c r="J28" s="24" t="s">
        <v>2326</v>
      </c>
      <c r="K28" s="24" t="s">
        <v>2365</v>
      </c>
      <c r="L28" t="s">
        <v>1392</v>
      </c>
      <c r="M28" t="s">
        <v>1411</v>
      </c>
      <c r="N28" t="s">
        <v>1425</v>
      </c>
      <c r="O28" t="s">
        <v>1428</v>
      </c>
      <c r="P28" t="s">
        <v>1431</v>
      </c>
      <c r="Q28">
        <v>45</v>
      </c>
      <c r="R28" s="2">
        <v>8457780337086</v>
      </c>
      <c r="S28" s="3" t="s">
        <v>708</v>
      </c>
      <c r="T28" t="s">
        <v>1325</v>
      </c>
    </row>
    <row r="29" spans="1:21" x14ac:dyDescent="0.25">
      <c r="A29" t="s">
        <v>19</v>
      </c>
      <c r="B29" t="s">
        <v>2217</v>
      </c>
      <c r="C29" t="s">
        <v>31</v>
      </c>
      <c r="D29" t="s">
        <v>1457</v>
      </c>
      <c r="E29" t="str">
        <f>+CONCATENATE(D29,". FABRICADO EN ",M29,". PUNTERA DE ",N29,". PLANTILLA ",O29,". SUELA DE ",P29)</f>
        <v>BOTA S3S +CI+HI+ FO+HRO+SR+ESD Gris 46. FABRICADO EN MICROFIBRA ACABADO NOBUK. PUNTERA DE Fibra de vidrio. PLANTILLA Antiperforación textil. SUELA DE EVA/CAUCHO-NITRILO</v>
      </c>
      <c r="F29" t="str">
        <f>PROPER(E29)</f>
        <v>Bota S3S +Ci+Hi+ Fo+Hro+Sr+Esd Gris 46. Fabricado En Microfibra Acabado Nobuk. Puntera De Fibra De Vidrio. Plantilla Antiperforación Textil. Suela De Eva/Caucho-Nitrilo</v>
      </c>
      <c r="G29" s="24">
        <f>VLOOKUP(B29,Tabla1[],2,0)</f>
        <v>40.9</v>
      </c>
      <c r="H29" s="24">
        <f>+G29/0.72</f>
        <v>56.805555555555557</v>
      </c>
      <c r="I29" s="24">
        <f>+H29*1.21</f>
        <v>68.734722222222217</v>
      </c>
      <c r="J29" s="24" t="s">
        <v>2326</v>
      </c>
      <c r="K29" s="24" t="s">
        <v>2365</v>
      </c>
      <c r="L29" t="s">
        <v>1392</v>
      </c>
      <c r="M29" t="s">
        <v>1411</v>
      </c>
      <c r="N29" t="s">
        <v>1425</v>
      </c>
      <c r="O29" t="s">
        <v>1428</v>
      </c>
      <c r="P29" t="s">
        <v>1431</v>
      </c>
      <c r="Q29">
        <v>46</v>
      </c>
      <c r="R29" s="2">
        <v>8457780337093</v>
      </c>
      <c r="S29" s="3" t="s">
        <v>709</v>
      </c>
      <c r="T29" t="s">
        <v>1325</v>
      </c>
    </row>
    <row r="30" spans="1:21" x14ac:dyDescent="0.25">
      <c r="A30" t="s">
        <v>19</v>
      </c>
      <c r="B30" t="s">
        <v>2217</v>
      </c>
      <c r="C30" t="s">
        <v>32</v>
      </c>
      <c r="D30" t="s">
        <v>1458</v>
      </c>
      <c r="E30" t="str">
        <f>+CONCATENATE(D30,". FABRICADO EN ",M30,". PUNTERA DE ",N30,". PLANTILLA ",O30,". SUELA DE ",P30)</f>
        <v>BOTA S3S +CI+HI+ FO+HRO+SR+ESD Gris 47. FABRICADO EN MICROFIBRA ACABADO NOBUK. PUNTERA DE Fibra de vidrio. PLANTILLA Antiperforación textil. SUELA DE EVA/CAUCHO-NITRILO</v>
      </c>
      <c r="F30" t="str">
        <f>PROPER(E30)</f>
        <v>Bota S3S +Ci+Hi+ Fo+Hro+Sr+Esd Gris 47. Fabricado En Microfibra Acabado Nobuk. Puntera De Fibra De Vidrio. Plantilla Antiperforación Textil. Suela De Eva/Caucho-Nitrilo</v>
      </c>
      <c r="G30" s="24">
        <f>VLOOKUP(B30,Tabla1[],2,0)</f>
        <v>40.9</v>
      </c>
      <c r="H30" s="24">
        <f>+G30/0.72</f>
        <v>56.805555555555557</v>
      </c>
      <c r="I30" s="24">
        <f>+H30*1.21</f>
        <v>68.734722222222217</v>
      </c>
      <c r="J30" s="24" t="s">
        <v>2326</v>
      </c>
      <c r="K30" s="24" t="s">
        <v>2365</v>
      </c>
      <c r="L30" t="s">
        <v>1392</v>
      </c>
      <c r="M30" t="s">
        <v>1411</v>
      </c>
      <c r="N30" t="s">
        <v>1425</v>
      </c>
      <c r="O30" t="s">
        <v>1428</v>
      </c>
      <c r="P30" t="s">
        <v>1431</v>
      </c>
      <c r="Q30">
        <v>47</v>
      </c>
      <c r="R30" s="2">
        <v>8457780337109</v>
      </c>
      <c r="S30" s="3" t="s">
        <v>710</v>
      </c>
      <c r="T30" t="s">
        <v>1325</v>
      </c>
    </row>
    <row r="31" spans="1:21" x14ac:dyDescent="0.25">
      <c r="A31" t="s">
        <v>19</v>
      </c>
      <c r="B31" t="s">
        <v>2217</v>
      </c>
      <c r="C31" t="s">
        <v>33</v>
      </c>
      <c r="D31" t="s">
        <v>1459</v>
      </c>
      <c r="E31" t="str">
        <f>+CONCATENATE(D31,". FABRICADO EN ",M31,". PUNTERA DE ",N31,". PLANTILLA ",O31,". SUELA DE ",P31)</f>
        <v>BOTA S3S +CI+HI+ FO+HRO+SR+ESD Gris 48. FABRICADO EN MICROFIBRA ACABADO NOBUK. PUNTERA DE Fibra de vidrio. PLANTILLA Antiperforación textil. SUELA DE EVA/CAUCHO-NITRILO</v>
      </c>
      <c r="F31" t="str">
        <f>PROPER(E31)</f>
        <v>Bota S3S +Ci+Hi+ Fo+Hro+Sr+Esd Gris 48. Fabricado En Microfibra Acabado Nobuk. Puntera De Fibra De Vidrio. Plantilla Antiperforación Textil. Suela De Eva/Caucho-Nitrilo</v>
      </c>
      <c r="G31" s="24">
        <f>VLOOKUP(B31,Tabla1[],2,0)</f>
        <v>40.9</v>
      </c>
      <c r="H31" s="24">
        <f>+G31/0.72</f>
        <v>56.805555555555557</v>
      </c>
      <c r="I31" s="24">
        <f>+H31*1.21</f>
        <v>68.734722222222217</v>
      </c>
      <c r="J31" s="24" t="s">
        <v>2326</v>
      </c>
      <c r="K31" s="24" t="s">
        <v>2365</v>
      </c>
      <c r="L31" t="s">
        <v>1392</v>
      </c>
      <c r="M31" t="s">
        <v>1411</v>
      </c>
      <c r="N31" t="s">
        <v>1425</v>
      </c>
      <c r="O31" t="s">
        <v>1428</v>
      </c>
      <c r="P31" t="s">
        <v>1431</v>
      </c>
      <c r="Q31">
        <v>48</v>
      </c>
      <c r="R31" s="2">
        <v>8457780337116</v>
      </c>
      <c r="S31" s="3" t="s">
        <v>711</v>
      </c>
      <c r="T31" t="s">
        <v>1325</v>
      </c>
    </row>
    <row r="32" spans="1:21" x14ac:dyDescent="0.25">
      <c r="A32" t="s">
        <v>34</v>
      </c>
      <c r="B32" t="s">
        <v>2218</v>
      </c>
      <c r="C32" t="s">
        <v>35</v>
      </c>
      <c r="D32" t="s">
        <v>1460</v>
      </c>
      <c r="E32" t="str">
        <f>+CONCATENATE(D32,". FABRICADO EN ",M32,". PUNTERA DE ",N32,". PLANTILLA ",O32,". SUELA DE ",P32)</f>
        <v>ZAPATO MF S3+CI+SRC+ESD Negro 35. FABRICADO EN MICROFIBRA ACABADO PIEL FULL GRAIN . PUNTERA DE Fibra de vidrio. PLANTILLA Antiperforación textil. SUELA DE PU/PU DOBLE DENSIDAD</v>
      </c>
      <c r="F32" t="str">
        <f>PROPER(E32)</f>
        <v>Zapato Mf S3+Ci+Src+Esd Negro 35. Fabricado En Microfibra Acabado Piel Full Grain . Puntera De Fibra De Vidrio. Plantilla Antiperforación Textil. Suela De Pu/Pu Doble Densidad</v>
      </c>
      <c r="G32" s="24">
        <f>VLOOKUP(B32,Tabla1[],2,0)</f>
        <v>24.57</v>
      </c>
      <c r="H32" s="24">
        <f>+G32/0.72</f>
        <v>34.125</v>
      </c>
      <c r="I32" s="24">
        <f>+H32*1.21</f>
        <v>41.291249999999998</v>
      </c>
      <c r="J32" s="24" t="s">
        <v>2359</v>
      </c>
      <c r="K32" s="24" t="s">
        <v>2365</v>
      </c>
      <c r="L32" t="s">
        <v>1392</v>
      </c>
      <c r="M32" t="s">
        <v>1416</v>
      </c>
      <c r="N32" t="s">
        <v>1425</v>
      </c>
      <c r="O32" t="s">
        <v>1428</v>
      </c>
      <c r="P32" t="s">
        <v>1429</v>
      </c>
      <c r="Q32">
        <v>35</v>
      </c>
      <c r="R32" s="2">
        <v>8457780304002</v>
      </c>
      <c r="S32" s="3" t="s">
        <v>712</v>
      </c>
      <c r="T32" t="s">
        <v>1327</v>
      </c>
      <c r="U32" t="s">
        <v>1328</v>
      </c>
    </row>
    <row r="33" spans="1:21" x14ac:dyDescent="0.25">
      <c r="A33" t="s">
        <v>34</v>
      </c>
      <c r="B33" t="s">
        <v>2218</v>
      </c>
      <c r="C33" t="s">
        <v>36</v>
      </c>
      <c r="D33" t="s">
        <v>1461</v>
      </c>
      <c r="E33" t="str">
        <f>+CONCATENATE(D33,". FABRICADO EN ",M33,". PUNTERA DE ",N33,". PLANTILLA ",O33,". SUELA DE ",P33)</f>
        <v>ZAPATO MF S3+CI+SRC+ESD Negro 36. FABRICADO EN MICROFIBRA ACABADO PIEL FULL GRAIN . PUNTERA DE Fibra de vidrio. PLANTILLA Antiperforación textil. SUELA DE PU/PU DOBLE DENSIDAD</v>
      </c>
      <c r="F33" t="str">
        <f>PROPER(E33)</f>
        <v>Zapato Mf S3+Ci+Src+Esd Negro 36. Fabricado En Microfibra Acabado Piel Full Grain . Puntera De Fibra De Vidrio. Plantilla Antiperforación Textil. Suela De Pu/Pu Doble Densidad</v>
      </c>
      <c r="G33" s="24">
        <f>VLOOKUP(B33,Tabla1[],2,0)</f>
        <v>24.57</v>
      </c>
      <c r="H33" s="24">
        <f>+G33/0.72</f>
        <v>34.125</v>
      </c>
      <c r="I33" s="24">
        <f>+H33*1.21</f>
        <v>41.291249999999998</v>
      </c>
      <c r="J33" s="24" t="s">
        <v>2359</v>
      </c>
      <c r="K33" s="24" t="s">
        <v>2365</v>
      </c>
      <c r="L33" t="s">
        <v>1392</v>
      </c>
      <c r="M33" t="s">
        <v>1416</v>
      </c>
      <c r="N33" t="s">
        <v>1425</v>
      </c>
      <c r="O33" t="s">
        <v>1428</v>
      </c>
      <c r="P33" t="s">
        <v>1429</v>
      </c>
      <c r="Q33">
        <v>36</v>
      </c>
      <c r="R33" s="2">
        <v>8457780268847</v>
      </c>
      <c r="S33" s="3" t="s">
        <v>713</v>
      </c>
      <c r="T33" t="s">
        <v>1327</v>
      </c>
      <c r="U33" t="s">
        <v>1328</v>
      </c>
    </row>
    <row r="34" spans="1:21" x14ac:dyDescent="0.25">
      <c r="A34" t="s">
        <v>34</v>
      </c>
      <c r="B34" t="s">
        <v>2218</v>
      </c>
      <c r="C34" t="s">
        <v>37</v>
      </c>
      <c r="D34" t="s">
        <v>1462</v>
      </c>
      <c r="E34" t="str">
        <f>+CONCATENATE(D34,". FABRICADO EN ",M34,". PUNTERA DE ",N34,". PLANTILLA ",O34,". SUELA DE ",P34)</f>
        <v>ZAPATO MF S3+CI+SRC+ESD Negro 37. FABRICADO EN MICROFIBRA ACABADO PIEL FULL GRAIN . PUNTERA DE Fibra de vidrio. PLANTILLA Antiperforación textil. SUELA DE PU/PU DOBLE DENSIDAD</v>
      </c>
      <c r="F34" t="str">
        <f>PROPER(E34)</f>
        <v>Zapato Mf S3+Ci+Src+Esd Negro 37. Fabricado En Microfibra Acabado Piel Full Grain . Puntera De Fibra De Vidrio. Plantilla Antiperforación Textil. Suela De Pu/Pu Doble Densidad</v>
      </c>
      <c r="G34" s="24">
        <f>VLOOKUP(B34,Tabla1[],2,0)</f>
        <v>24.57</v>
      </c>
      <c r="H34" s="24">
        <f>+G34/0.72</f>
        <v>34.125</v>
      </c>
      <c r="I34" s="24">
        <f>+H34*1.21</f>
        <v>41.291249999999998</v>
      </c>
      <c r="J34" s="24" t="s">
        <v>2359</v>
      </c>
      <c r="K34" s="24" t="s">
        <v>2365</v>
      </c>
      <c r="L34" t="s">
        <v>1392</v>
      </c>
      <c r="M34" t="s">
        <v>1416</v>
      </c>
      <c r="N34" t="s">
        <v>1425</v>
      </c>
      <c r="O34" t="s">
        <v>1428</v>
      </c>
      <c r="P34" t="s">
        <v>1429</v>
      </c>
      <c r="Q34">
        <v>37</v>
      </c>
      <c r="R34" s="2">
        <v>8457780268854</v>
      </c>
      <c r="S34" s="3" t="s">
        <v>714</v>
      </c>
      <c r="T34" t="s">
        <v>1327</v>
      </c>
      <c r="U34" t="s">
        <v>1328</v>
      </c>
    </row>
    <row r="35" spans="1:21" x14ac:dyDescent="0.25">
      <c r="A35" t="s">
        <v>34</v>
      </c>
      <c r="B35" t="s">
        <v>2218</v>
      </c>
      <c r="C35" t="s">
        <v>38</v>
      </c>
      <c r="D35" t="s">
        <v>1463</v>
      </c>
      <c r="E35" t="str">
        <f>+CONCATENATE(D35,". FABRICADO EN ",M35,". PUNTERA DE ",N35,". PLANTILLA ",O35,". SUELA DE ",P35)</f>
        <v>ZAPATO MF S3+CI+SRC+ESD Negro 38. FABRICADO EN MICROFIBRA ACABADO PIEL FULL GRAIN . PUNTERA DE Fibra de vidrio. PLANTILLA Antiperforación textil. SUELA DE PU/PU DOBLE DENSIDAD</v>
      </c>
      <c r="F35" t="str">
        <f>PROPER(E35)</f>
        <v>Zapato Mf S3+Ci+Src+Esd Negro 38. Fabricado En Microfibra Acabado Piel Full Grain . Puntera De Fibra De Vidrio. Plantilla Antiperforación Textil. Suela De Pu/Pu Doble Densidad</v>
      </c>
      <c r="G35" s="24">
        <f>VLOOKUP(B35,Tabla1[],2,0)</f>
        <v>24.57</v>
      </c>
      <c r="H35" s="24">
        <f>+G35/0.72</f>
        <v>34.125</v>
      </c>
      <c r="I35" s="24">
        <f>+H35*1.21</f>
        <v>41.291249999999998</v>
      </c>
      <c r="J35" s="24" t="s">
        <v>2359</v>
      </c>
      <c r="K35" s="24" t="s">
        <v>2365</v>
      </c>
      <c r="L35" t="s">
        <v>1392</v>
      </c>
      <c r="M35" t="s">
        <v>1416</v>
      </c>
      <c r="N35" t="s">
        <v>1425</v>
      </c>
      <c r="O35" t="s">
        <v>1428</v>
      </c>
      <c r="P35" t="s">
        <v>1429</v>
      </c>
      <c r="Q35">
        <v>38</v>
      </c>
      <c r="R35" s="2">
        <v>8457780268861</v>
      </c>
      <c r="S35" s="3" t="s">
        <v>715</v>
      </c>
      <c r="T35" t="s">
        <v>1327</v>
      </c>
      <c r="U35" t="s">
        <v>1328</v>
      </c>
    </row>
    <row r="36" spans="1:21" x14ac:dyDescent="0.25">
      <c r="A36" t="s">
        <v>34</v>
      </c>
      <c r="B36" t="s">
        <v>2218</v>
      </c>
      <c r="C36" t="s">
        <v>39</v>
      </c>
      <c r="D36" t="s">
        <v>1464</v>
      </c>
      <c r="E36" t="str">
        <f>+CONCATENATE(D36,". FABRICADO EN ",M36,". PUNTERA DE ",N36,". PLANTILLA ",O36,". SUELA DE ",P36)</f>
        <v>ZAPATO MF S3+CI+SRC+ESD Negro 39. FABRICADO EN MICROFIBRA ACABADO PIEL FULL GRAIN . PUNTERA DE Fibra de vidrio. PLANTILLA Antiperforación textil. SUELA DE PU/PU DOBLE DENSIDAD</v>
      </c>
      <c r="F36" t="str">
        <f>PROPER(E36)</f>
        <v>Zapato Mf S3+Ci+Src+Esd Negro 39. Fabricado En Microfibra Acabado Piel Full Grain . Puntera De Fibra De Vidrio. Plantilla Antiperforación Textil. Suela De Pu/Pu Doble Densidad</v>
      </c>
      <c r="G36" s="24">
        <f>VLOOKUP(B36,Tabla1[],2,0)</f>
        <v>24.57</v>
      </c>
      <c r="H36" s="24">
        <f>+G36/0.72</f>
        <v>34.125</v>
      </c>
      <c r="I36" s="24">
        <f>+H36*1.21</f>
        <v>41.291249999999998</v>
      </c>
      <c r="J36" s="24" t="s">
        <v>2359</v>
      </c>
      <c r="K36" s="24" t="s">
        <v>2365</v>
      </c>
      <c r="L36" t="s">
        <v>1392</v>
      </c>
      <c r="M36" t="s">
        <v>1416</v>
      </c>
      <c r="N36" t="s">
        <v>1425</v>
      </c>
      <c r="O36" t="s">
        <v>1428</v>
      </c>
      <c r="P36" t="s">
        <v>1429</v>
      </c>
      <c r="Q36">
        <v>39</v>
      </c>
      <c r="R36" s="2">
        <v>8457780268878</v>
      </c>
      <c r="S36" s="3" t="s">
        <v>716</v>
      </c>
      <c r="T36" t="s">
        <v>1327</v>
      </c>
      <c r="U36" t="s">
        <v>1328</v>
      </c>
    </row>
    <row r="37" spans="1:21" x14ac:dyDescent="0.25">
      <c r="A37" t="s">
        <v>34</v>
      </c>
      <c r="B37" t="s">
        <v>2218</v>
      </c>
      <c r="C37" t="s">
        <v>40</v>
      </c>
      <c r="D37" t="s">
        <v>1465</v>
      </c>
      <c r="E37" t="str">
        <f>+CONCATENATE(D37,". FABRICADO EN ",M37,". PUNTERA DE ",N37,". PLANTILLA ",O37,". SUELA DE ",P37)</f>
        <v>ZAPATO MF S3+CI+SRC+ESD Negro 40. FABRICADO EN MICROFIBRA ACABADO PIEL FULL GRAIN . PUNTERA DE Fibra de vidrio. PLANTILLA Antiperforación textil. SUELA DE PU/PU DOBLE DENSIDAD</v>
      </c>
      <c r="F37" t="str">
        <f>PROPER(E37)</f>
        <v>Zapato Mf S3+Ci+Src+Esd Negro 40. Fabricado En Microfibra Acabado Piel Full Grain . Puntera De Fibra De Vidrio. Plantilla Antiperforación Textil. Suela De Pu/Pu Doble Densidad</v>
      </c>
      <c r="G37" s="24">
        <f>VLOOKUP(B37,Tabla1[],2,0)</f>
        <v>24.57</v>
      </c>
      <c r="H37" s="24">
        <f>+G37/0.72</f>
        <v>34.125</v>
      </c>
      <c r="I37" s="24">
        <f>+H37*1.21</f>
        <v>41.291249999999998</v>
      </c>
      <c r="J37" s="24" t="s">
        <v>2359</v>
      </c>
      <c r="K37" s="24" t="s">
        <v>2365</v>
      </c>
      <c r="L37" t="s">
        <v>1392</v>
      </c>
      <c r="M37" t="s">
        <v>1416</v>
      </c>
      <c r="N37" t="s">
        <v>1425</v>
      </c>
      <c r="O37" t="s">
        <v>1428</v>
      </c>
      <c r="P37" t="s">
        <v>1429</v>
      </c>
      <c r="Q37">
        <v>40</v>
      </c>
      <c r="R37" s="2">
        <v>8457780268885</v>
      </c>
      <c r="S37" s="3" t="s">
        <v>717</v>
      </c>
      <c r="T37" t="s">
        <v>1327</v>
      </c>
      <c r="U37" t="s">
        <v>1328</v>
      </c>
    </row>
    <row r="38" spans="1:21" x14ac:dyDescent="0.25">
      <c r="A38" t="s">
        <v>34</v>
      </c>
      <c r="B38" t="s">
        <v>2218</v>
      </c>
      <c r="C38" t="s">
        <v>41</v>
      </c>
      <c r="D38" t="s">
        <v>1466</v>
      </c>
      <c r="E38" t="str">
        <f>+CONCATENATE(D38,". FABRICADO EN ",M38,". PUNTERA DE ",N38,". PLANTILLA ",O38,". SUELA DE ",P38)</f>
        <v>ZAPATO MF S3+CI+SRC+ESD Negro 41. FABRICADO EN MICROFIBRA ACABADO PIEL FULL GRAIN . PUNTERA DE Fibra de vidrio. PLANTILLA Antiperforación textil. SUELA DE PU/PU DOBLE DENSIDAD</v>
      </c>
      <c r="F38" t="str">
        <f>PROPER(E38)</f>
        <v>Zapato Mf S3+Ci+Src+Esd Negro 41. Fabricado En Microfibra Acabado Piel Full Grain . Puntera De Fibra De Vidrio. Plantilla Antiperforación Textil. Suela De Pu/Pu Doble Densidad</v>
      </c>
      <c r="G38" s="24">
        <f>VLOOKUP(B38,Tabla1[],2,0)</f>
        <v>24.57</v>
      </c>
      <c r="H38" s="24">
        <f>+G38/0.72</f>
        <v>34.125</v>
      </c>
      <c r="I38" s="24">
        <f>+H38*1.21</f>
        <v>41.291249999999998</v>
      </c>
      <c r="J38" s="24" t="s">
        <v>2359</v>
      </c>
      <c r="K38" s="24" t="s">
        <v>2365</v>
      </c>
      <c r="L38" t="s">
        <v>1392</v>
      </c>
      <c r="M38" t="s">
        <v>1416</v>
      </c>
      <c r="N38" t="s">
        <v>1425</v>
      </c>
      <c r="O38" t="s">
        <v>1428</v>
      </c>
      <c r="P38" t="s">
        <v>1429</v>
      </c>
      <c r="Q38">
        <v>41</v>
      </c>
      <c r="R38" s="2">
        <v>8457780268892</v>
      </c>
      <c r="S38" s="3" t="s">
        <v>718</v>
      </c>
      <c r="T38" t="s">
        <v>1327</v>
      </c>
      <c r="U38" t="s">
        <v>1328</v>
      </c>
    </row>
    <row r="39" spans="1:21" x14ac:dyDescent="0.25">
      <c r="A39" t="s">
        <v>34</v>
      </c>
      <c r="B39" t="s">
        <v>2218</v>
      </c>
      <c r="C39" t="s">
        <v>42</v>
      </c>
      <c r="D39" t="s">
        <v>1467</v>
      </c>
      <c r="E39" t="str">
        <f>+CONCATENATE(D39,". FABRICADO EN ",M39,". PUNTERA DE ",N39,". PLANTILLA ",O39,". SUELA DE ",P39)</f>
        <v>ZAPATO MF S3+CI+SRC+ESD Negro 42. FABRICADO EN MICROFIBRA ACABADO PIEL FULL GRAIN . PUNTERA DE Fibra de vidrio. PLANTILLA Antiperforación textil. SUELA DE PU/PU DOBLE DENSIDAD</v>
      </c>
      <c r="F39" t="str">
        <f>PROPER(E39)</f>
        <v>Zapato Mf S3+Ci+Src+Esd Negro 42. Fabricado En Microfibra Acabado Piel Full Grain . Puntera De Fibra De Vidrio. Plantilla Antiperforación Textil. Suela De Pu/Pu Doble Densidad</v>
      </c>
      <c r="G39" s="24">
        <f>VLOOKUP(B39,Tabla1[],2,0)</f>
        <v>24.57</v>
      </c>
      <c r="H39" s="24">
        <f>+G39/0.72</f>
        <v>34.125</v>
      </c>
      <c r="I39" s="24">
        <f>+H39*1.21</f>
        <v>41.291249999999998</v>
      </c>
      <c r="J39" s="24" t="s">
        <v>2359</v>
      </c>
      <c r="K39" s="24" t="s">
        <v>2365</v>
      </c>
      <c r="L39" t="s">
        <v>1392</v>
      </c>
      <c r="M39" t="s">
        <v>1416</v>
      </c>
      <c r="N39" t="s">
        <v>1425</v>
      </c>
      <c r="O39" t="s">
        <v>1428</v>
      </c>
      <c r="P39" t="s">
        <v>1429</v>
      </c>
      <c r="Q39">
        <v>42</v>
      </c>
      <c r="R39" s="2">
        <v>8457780268908</v>
      </c>
      <c r="S39" s="3" t="s">
        <v>719</v>
      </c>
      <c r="T39" t="s">
        <v>1327</v>
      </c>
      <c r="U39" t="s">
        <v>1328</v>
      </c>
    </row>
    <row r="40" spans="1:21" x14ac:dyDescent="0.25">
      <c r="A40" t="s">
        <v>34</v>
      </c>
      <c r="B40" t="s">
        <v>2218</v>
      </c>
      <c r="C40" t="s">
        <v>43</v>
      </c>
      <c r="D40" t="s">
        <v>1468</v>
      </c>
      <c r="E40" t="str">
        <f>+CONCATENATE(D40,". FABRICADO EN ",M40,". PUNTERA DE ",N40,". PLANTILLA ",O40,". SUELA DE ",P40)</f>
        <v>ZAPATO MF S3+CI+SRC+ESD Negro 43. FABRICADO EN MICROFIBRA ACABADO PIEL FULL GRAIN . PUNTERA DE Fibra de vidrio. PLANTILLA Antiperforación textil. SUELA DE PU/PU DOBLE DENSIDAD</v>
      </c>
      <c r="F40" t="str">
        <f>PROPER(E40)</f>
        <v>Zapato Mf S3+Ci+Src+Esd Negro 43. Fabricado En Microfibra Acabado Piel Full Grain . Puntera De Fibra De Vidrio. Plantilla Antiperforación Textil. Suela De Pu/Pu Doble Densidad</v>
      </c>
      <c r="G40" s="24">
        <f>VLOOKUP(B40,Tabla1[],2,0)</f>
        <v>24.57</v>
      </c>
      <c r="H40" s="24">
        <f>+G40/0.72</f>
        <v>34.125</v>
      </c>
      <c r="I40" s="24">
        <f>+H40*1.21</f>
        <v>41.291249999999998</v>
      </c>
      <c r="J40" s="24" t="s">
        <v>2359</v>
      </c>
      <c r="K40" s="24" t="s">
        <v>2365</v>
      </c>
      <c r="L40" t="s">
        <v>1392</v>
      </c>
      <c r="M40" t="s">
        <v>1416</v>
      </c>
      <c r="N40" t="s">
        <v>1425</v>
      </c>
      <c r="O40" t="s">
        <v>1428</v>
      </c>
      <c r="P40" t="s">
        <v>1429</v>
      </c>
      <c r="Q40">
        <v>43</v>
      </c>
      <c r="R40" s="2">
        <v>8457780268915</v>
      </c>
      <c r="S40" s="3" t="s">
        <v>720</v>
      </c>
      <c r="T40" t="s">
        <v>1327</v>
      </c>
      <c r="U40" t="s">
        <v>1328</v>
      </c>
    </row>
    <row r="41" spans="1:21" x14ac:dyDescent="0.25">
      <c r="A41" t="s">
        <v>34</v>
      </c>
      <c r="B41" t="s">
        <v>2218</v>
      </c>
      <c r="C41" t="s">
        <v>44</v>
      </c>
      <c r="D41" t="s">
        <v>1469</v>
      </c>
      <c r="E41" t="str">
        <f>+CONCATENATE(D41,". FABRICADO EN ",M41,". PUNTERA DE ",N41,". PLANTILLA ",O41,". SUELA DE ",P41)</f>
        <v>ZAPATO MF S3+CI+SRC+ESD Negro 44. FABRICADO EN MICROFIBRA ACABADO PIEL FULL GRAIN . PUNTERA DE Fibra de vidrio. PLANTILLA Antiperforación textil. SUELA DE PU/PU DOBLE DENSIDAD</v>
      </c>
      <c r="F41" t="str">
        <f>PROPER(E41)</f>
        <v>Zapato Mf S3+Ci+Src+Esd Negro 44. Fabricado En Microfibra Acabado Piel Full Grain . Puntera De Fibra De Vidrio. Plantilla Antiperforación Textil. Suela De Pu/Pu Doble Densidad</v>
      </c>
      <c r="G41" s="24">
        <f>VLOOKUP(B41,Tabla1[],2,0)</f>
        <v>24.57</v>
      </c>
      <c r="H41" s="24">
        <f>+G41/0.72</f>
        <v>34.125</v>
      </c>
      <c r="I41" s="24">
        <f>+H41*1.21</f>
        <v>41.291249999999998</v>
      </c>
      <c r="J41" s="24" t="s">
        <v>2359</v>
      </c>
      <c r="K41" s="24" t="s">
        <v>2365</v>
      </c>
      <c r="L41" t="s">
        <v>1392</v>
      </c>
      <c r="M41" t="s">
        <v>1416</v>
      </c>
      <c r="N41" t="s">
        <v>1425</v>
      </c>
      <c r="O41" t="s">
        <v>1428</v>
      </c>
      <c r="P41" t="s">
        <v>1429</v>
      </c>
      <c r="Q41">
        <v>44</v>
      </c>
      <c r="R41" s="2">
        <v>8457780268922</v>
      </c>
      <c r="S41" s="3" t="s">
        <v>721</v>
      </c>
      <c r="T41" t="s">
        <v>1327</v>
      </c>
      <c r="U41" t="s">
        <v>1328</v>
      </c>
    </row>
    <row r="42" spans="1:21" x14ac:dyDescent="0.25">
      <c r="A42" t="s">
        <v>34</v>
      </c>
      <c r="B42" t="s">
        <v>2218</v>
      </c>
      <c r="C42" t="s">
        <v>45</v>
      </c>
      <c r="D42" t="s">
        <v>1470</v>
      </c>
      <c r="E42" t="str">
        <f>+CONCATENATE(D42,". FABRICADO EN ",M42,". PUNTERA DE ",N42,". PLANTILLA ",O42,". SUELA DE ",P42)</f>
        <v>ZAPATO MF S3+CI+SRC+ESD Negro 45. FABRICADO EN MICROFIBRA ACABADO PIEL FULL GRAIN . PUNTERA DE Fibra de vidrio. PLANTILLA Antiperforación textil. SUELA DE PU/PU DOBLE DENSIDAD</v>
      </c>
      <c r="F42" t="str">
        <f>PROPER(E42)</f>
        <v>Zapato Mf S3+Ci+Src+Esd Negro 45. Fabricado En Microfibra Acabado Piel Full Grain . Puntera De Fibra De Vidrio. Plantilla Antiperforación Textil. Suela De Pu/Pu Doble Densidad</v>
      </c>
      <c r="G42" s="24">
        <f>VLOOKUP(B42,Tabla1[],2,0)</f>
        <v>24.57</v>
      </c>
      <c r="H42" s="24">
        <f>+G42/0.72</f>
        <v>34.125</v>
      </c>
      <c r="I42" s="24">
        <f>+H42*1.21</f>
        <v>41.291249999999998</v>
      </c>
      <c r="J42" s="24" t="s">
        <v>2359</v>
      </c>
      <c r="K42" s="24" t="s">
        <v>2365</v>
      </c>
      <c r="L42" t="s">
        <v>1392</v>
      </c>
      <c r="M42" t="s">
        <v>1416</v>
      </c>
      <c r="N42" t="s">
        <v>1425</v>
      </c>
      <c r="O42" t="s">
        <v>1428</v>
      </c>
      <c r="P42" t="s">
        <v>1429</v>
      </c>
      <c r="Q42">
        <v>45</v>
      </c>
      <c r="R42" s="2">
        <v>8457780268939</v>
      </c>
      <c r="S42" s="3" t="s">
        <v>722</v>
      </c>
      <c r="T42" t="s">
        <v>1327</v>
      </c>
      <c r="U42" t="s">
        <v>1328</v>
      </c>
    </row>
    <row r="43" spans="1:21" x14ac:dyDescent="0.25">
      <c r="A43" t="s">
        <v>34</v>
      </c>
      <c r="B43" t="s">
        <v>2218</v>
      </c>
      <c r="C43" t="s">
        <v>46</v>
      </c>
      <c r="D43" t="s">
        <v>1471</v>
      </c>
      <c r="E43" t="str">
        <f>+CONCATENATE(D43,". FABRICADO EN ",M43,". PUNTERA DE ",N43,". PLANTILLA ",O43,". SUELA DE ",P43)</f>
        <v>ZAPATO MF S3+CI+SRC+ESD Negro 46. FABRICADO EN MICROFIBRA ACABADO PIEL FULL GRAIN . PUNTERA DE Fibra de vidrio. PLANTILLA Antiperforación textil. SUELA DE PU/PU DOBLE DENSIDAD</v>
      </c>
      <c r="F43" t="str">
        <f>PROPER(E43)</f>
        <v>Zapato Mf S3+Ci+Src+Esd Negro 46. Fabricado En Microfibra Acabado Piel Full Grain . Puntera De Fibra De Vidrio. Plantilla Antiperforación Textil. Suela De Pu/Pu Doble Densidad</v>
      </c>
      <c r="G43" s="24">
        <f>VLOOKUP(B43,Tabla1[],2,0)</f>
        <v>24.57</v>
      </c>
      <c r="H43" s="24">
        <f>+G43/0.72</f>
        <v>34.125</v>
      </c>
      <c r="I43" s="24">
        <f>+H43*1.21</f>
        <v>41.291249999999998</v>
      </c>
      <c r="J43" s="24" t="s">
        <v>2359</v>
      </c>
      <c r="K43" s="24" t="s">
        <v>2365</v>
      </c>
      <c r="L43" t="s">
        <v>1392</v>
      </c>
      <c r="M43" t="s">
        <v>1416</v>
      </c>
      <c r="N43" t="s">
        <v>1425</v>
      </c>
      <c r="O43" t="s">
        <v>1428</v>
      </c>
      <c r="P43" t="s">
        <v>1429</v>
      </c>
      <c r="Q43">
        <v>46</v>
      </c>
      <c r="R43" s="2">
        <v>8457780268946</v>
      </c>
      <c r="S43" s="3" t="s">
        <v>723</v>
      </c>
      <c r="T43" t="s">
        <v>1327</v>
      </c>
      <c r="U43" t="s">
        <v>1328</v>
      </c>
    </row>
    <row r="44" spans="1:21" x14ac:dyDescent="0.25">
      <c r="A44" t="s">
        <v>34</v>
      </c>
      <c r="B44" t="s">
        <v>2218</v>
      </c>
      <c r="C44" t="s">
        <v>47</v>
      </c>
      <c r="D44" t="s">
        <v>1472</v>
      </c>
      <c r="E44" t="str">
        <f>+CONCATENATE(D44,". FABRICADO EN ",M44,". PUNTERA DE ",N44,". PLANTILLA ",O44,". SUELA DE ",P44)</f>
        <v>ZAPATO MF S3+CI+SRC+ESD Negro 47. FABRICADO EN MICROFIBRA ACABADO PIEL FULL GRAIN . PUNTERA DE Fibra de vidrio. PLANTILLA Antiperforación textil. SUELA DE PU/PU DOBLE DENSIDAD</v>
      </c>
      <c r="F44" t="str">
        <f>PROPER(E44)</f>
        <v>Zapato Mf S3+Ci+Src+Esd Negro 47. Fabricado En Microfibra Acabado Piel Full Grain . Puntera De Fibra De Vidrio. Plantilla Antiperforación Textil. Suela De Pu/Pu Doble Densidad</v>
      </c>
      <c r="G44" s="24">
        <f>VLOOKUP(B44,Tabla1[],2,0)</f>
        <v>24.57</v>
      </c>
      <c r="H44" s="24">
        <f>+G44/0.72</f>
        <v>34.125</v>
      </c>
      <c r="I44" s="24">
        <f>+H44*1.21</f>
        <v>41.291249999999998</v>
      </c>
      <c r="J44" s="24" t="s">
        <v>2359</v>
      </c>
      <c r="K44" s="24" t="s">
        <v>2365</v>
      </c>
      <c r="L44" t="s">
        <v>1392</v>
      </c>
      <c r="M44" t="s">
        <v>1416</v>
      </c>
      <c r="N44" t="s">
        <v>1425</v>
      </c>
      <c r="O44" t="s">
        <v>1428</v>
      </c>
      <c r="P44" t="s">
        <v>1429</v>
      </c>
      <c r="Q44">
        <v>47</v>
      </c>
      <c r="R44" s="2">
        <v>8457780268953</v>
      </c>
      <c r="S44" s="3" t="s">
        <v>724</v>
      </c>
      <c r="T44" t="s">
        <v>1327</v>
      </c>
      <c r="U44" t="s">
        <v>1328</v>
      </c>
    </row>
    <row r="45" spans="1:21" x14ac:dyDescent="0.25">
      <c r="A45" t="s">
        <v>34</v>
      </c>
      <c r="B45" t="s">
        <v>2218</v>
      </c>
      <c r="C45" t="s">
        <v>48</v>
      </c>
      <c r="D45" t="s">
        <v>1473</v>
      </c>
      <c r="E45" t="str">
        <f>+CONCATENATE(D45,". FABRICADO EN ",M45,". PUNTERA DE ",N45,". PLANTILLA ",O45,". SUELA DE ",P45)</f>
        <v>ZAPATO MF S3+CI+SRC+ESD Negro 48. FABRICADO EN MICROFIBRA ACABADO PIEL FULL GRAIN . PUNTERA DE Fibra de vidrio. PLANTILLA Antiperforación textil. SUELA DE PU/PU DOBLE DENSIDAD</v>
      </c>
      <c r="F45" t="str">
        <f>PROPER(E45)</f>
        <v>Zapato Mf S3+Ci+Src+Esd Negro 48. Fabricado En Microfibra Acabado Piel Full Grain . Puntera De Fibra De Vidrio. Plantilla Antiperforación Textil. Suela De Pu/Pu Doble Densidad</v>
      </c>
      <c r="G45" s="24">
        <f>VLOOKUP(B45,Tabla1[],2,0)</f>
        <v>24.57</v>
      </c>
      <c r="H45" s="24">
        <f>+G45/0.72</f>
        <v>34.125</v>
      </c>
      <c r="I45" s="24">
        <f>+H45*1.21</f>
        <v>41.291249999999998</v>
      </c>
      <c r="J45" s="24" t="s">
        <v>2359</v>
      </c>
      <c r="K45" s="24" t="s">
        <v>2365</v>
      </c>
      <c r="L45" t="s">
        <v>1392</v>
      </c>
      <c r="M45" t="s">
        <v>1416</v>
      </c>
      <c r="N45" t="s">
        <v>1425</v>
      </c>
      <c r="O45" t="s">
        <v>1428</v>
      </c>
      <c r="P45" t="s">
        <v>1429</v>
      </c>
      <c r="Q45">
        <v>48</v>
      </c>
      <c r="R45" s="2">
        <v>8457780304019</v>
      </c>
      <c r="S45" s="3" t="s">
        <v>725</v>
      </c>
      <c r="T45" t="s">
        <v>1327</v>
      </c>
      <c r="U45" t="s">
        <v>1328</v>
      </c>
    </row>
    <row r="46" spans="1:21" x14ac:dyDescent="0.25">
      <c r="A46" t="s">
        <v>49</v>
      </c>
      <c r="B46" t="s">
        <v>2219</v>
      </c>
      <c r="C46" t="s">
        <v>50</v>
      </c>
      <c r="D46" t="s">
        <v>1474</v>
      </c>
      <c r="E46" t="str">
        <f>+CONCATENATE(D46,". FABRICADO EN ",M46,". PUNTERA DE ",N46,". PLANTILLA ",O46,". SUELA DE ",P46)</f>
        <v>BOTA SERRAJE S1+P+CI+SRC METALICO Gris 35. FABRICADO EN PIEL SERRAJE. PUNTERA DE Acero. PLANTILLA Acero. SUELA DE PU/PU DOBLE DENSIDAD</v>
      </c>
      <c r="F46" t="str">
        <f>PROPER(E46)</f>
        <v>Bota Serraje S1+P+Ci+Src Metalico Gris 35. Fabricado En Piel Serraje. Puntera De Acero. Plantilla Acero. Suela De Pu/Pu Doble Densidad</v>
      </c>
      <c r="G46" s="24">
        <f>VLOOKUP(B46,Tabla1[],2,0)</f>
        <v>11.9</v>
      </c>
      <c r="H46" s="24">
        <f>+G46/0.7</f>
        <v>17</v>
      </c>
      <c r="I46" s="24">
        <f>+H46*1.21</f>
        <v>20.57</v>
      </c>
      <c r="J46" s="24" t="s">
        <v>2326</v>
      </c>
      <c r="K46" s="24" t="s">
        <v>2371</v>
      </c>
      <c r="L46" t="s">
        <v>1399</v>
      </c>
      <c r="M46" t="s">
        <v>1417</v>
      </c>
      <c r="N46" t="s">
        <v>1426</v>
      </c>
      <c r="O46" t="s">
        <v>1426</v>
      </c>
      <c r="P46" t="s">
        <v>1429</v>
      </c>
      <c r="Q46">
        <v>35</v>
      </c>
      <c r="R46" s="2">
        <v>8457780313943</v>
      </c>
      <c r="S46" s="3" t="s">
        <v>726</v>
      </c>
      <c r="T46" t="s">
        <v>1346</v>
      </c>
      <c r="U46" t="s">
        <v>1347</v>
      </c>
    </row>
    <row r="47" spans="1:21" x14ac:dyDescent="0.25">
      <c r="A47" t="s">
        <v>49</v>
      </c>
      <c r="B47" t="s">
        <v>2219</v>
      </c>
      <c r="C47" t="s">
        <v>51</v>
      </c>
      <c r="D47" t="s">
        <v>1475</v>
      </c>
      <c r="E47" t="str">
        <f>+CONCATENATE(D47,". FABRICADO EN ",M47,". PUNTERA DE ",N47,". PLANTILLA ",O47,". SUELA DE ",P47)</f>
        <v>BOTA SERRAJE S1+P+CI+SRC METALICO Gris 36. FABRICADO EN PIEL SERRAJE. PUNTERA DE Acero. PLANTILLA Acero. SUELA DE PU/PU DOBLE DENSIDAD</v>
      </c>
      <c r="F47" t="str">
        <f>PROPER(E47)</f>
        <v>Bota Serraje S1+P+Ci+Src Metalico Gris 36. Fabricado En Piel Serraje. Puntera De Acero. Plantilla Acero. Suela De Pu/Pu Doble Densidad</v>
      </c>
      <c r="G47" s="24">
        <f>VLOOKUP(B47,Tabla1[],2,0)</f>
        <v>11.9</v>
      </c>
      <c r="H47" s="24">
        <f>+G47/0.7</f>
        <v>17</v>
      </c>
      <c r="I47" s="24">
        <f>+H47*1.21</f>
        <v>20.57</v>
      </c>
      <c r="J47" s="24" t="s">
        <v>2326</v>
      </c>
      <c r="K47" s="24" t="s">
        <v>2371</v>
      </c>
      <c r="L47" t="s">
        <v>1399</v>
      </c>
      <c r="M47" t="s">
        <v>1417</v>
      </c>
      <c r="N47" t="s">
        <v>1426</v>
      </c>
      <c r="O47" t="s">
        <v>1426</v>
      </c>
      <c r="P47" t="s">
        <v>1429</v>
      </c>
      <c r="Q47">
        <v>36</v>
      </c>
      <c r="R47" s="2">
        <v>8457780313950</v>
      </c>
      <c r="S47" s="3" t="s">
        <v>727</v>
      </c>
      <c r="T47" t="s">
        <v>1346</v>
      </c>
      <c r="U47" t="s">
        <v>1347</v>
      </c>
    </row>
    <row r="48" spans="1:21" x14ac:dyDescent="0.25">
      <c r="A48" t="s">
        <v>49</v>
      </c>
      <c r="B48" t="s">
        <v>2219</v>
      </c>
      <c r="C48" t="s">
        <v>52</v>
      </c>
      <c r="D48" t="s">
        <v>1476</v>
      </c>
      <c r="E48" t="str">
        <f>+CONCATENATE(D48,". FABRICADO EN ",M48,". PUNTERA DE ",N48,". PLANTILLA ",O48,". SUELA DE ",P48)</f>
        <v>BOTA SERRAJE S1+P+CI+SRC METALICO Gris 37. FABRICADO EN PIEL SERRAJE. PUNTERA DE Acero. PLANTILLA Acero. SUELA DE PU/PU DOBLE DENSIDAD</v>
      </c>
      <c r="F48" t="str">
        <f>PROPER(E48)</f>
        <v>Bota Serraje S1+P+Ci+Src Metalico Gris 37. Fabricado En Piel Serraje. Puntera De Acero. Plantilla Acero. Suela De Pu/Pu Doble Densidad</v>
      </c>
      <c r="G48" s="24">
        <f>VLOOKUP(B48,Tabla1[],2,0)</f>
        <v>11.9</v>
      </c>
      <c r="H48" s="24">
        <f>+G48/0.7</f>
        <v>17</v>
      </c>
      <c r="I48" s="24">
        <f>+H48*1.21</f>
        <v>20.57</v>
      </c>
      <c r="J48" s="24" t="s">
        <v>2326</v>
      </c>
      <c r="K48" s="24" t="s">
        <v>2371</v>
      </c>
      <c r="L48" t="s">
        <v>1399</v>
      </c>
      <c r="M48" t="s">
        <v>1417</v>
      </c>
      <c r="N48" t="s">
        <v>1426</v>
      </c>
      <c r="O48" t="s">
        <v>1426</v>
      </c>
      <c r="P48" t="s">
        <v>1429</v>
      </c>
      <c r="Q48">
        <v>37</v>
      </c>
      <c r="R48" s="2">
        <v>8457780313967</v>
      </c>
      <c r="S48" s="3" t="s">
        <v>728</v>
      </c>
      <c r="T48" t="s">
        <v>1346</v>
      </c>
      <c r="U48" t="s">
        <v>1347</v>
      </c>
    </row>
    <row r="49" spans="1:21" x14ac:dyDescent="0.25">
      <c r="A49" t="s">
        <v>49</v>
      </c>
      <c r="B49" t="s">
        <v>2219</v>
      </c>
      <c r="C49" t="s">
        <v>53</v>
      </c>
      <c r="D49" t="s">
        <v>1477</v>
      </c>
      <c r="E49" t="str">
        <f>+CONCATENATE(D49,". FABRICADO EN ",M49,". PUNTERA DE ",N49,". PLANTILLA ",O49,". SUELA DE ",P49)</f>
        <v>BOTA SERRAJE S1+P+CI+SRC METALICO Gris 38. FABRICADO EN PIEL SERRAJE. PUNTERA DE Acero. PLANTILLA Acero. SUELA DE PU/PU DOBLE DENSIDAD</v>
      </c>
      <c r="F49" t="str">
        <f>PROPER(E49)</f>
        <v>Bota Serraje S1+P+Ci+Src Metalico Gris 38. Fabricado En Piel Serraje. Puntera De Acero. Plantilla Acero. Suela De Pu/Pu Doble Densidad</v>
      </c>
      <c r="G49" s="24">
        <f>VLOOKUP(B49,Tabla1[],2,0)</f>
        <v>11.9</v>
      </c>
      <c r="H49" s="24">
        <f>+G49/0.7</f>
        <v>17</v>
      </c>
      <c r="I49" s="24">
        <f>+H49*1.21</f>
        <v>20.57</v>
      </c>
      <c r="J49" s="24" t="s">
        <v>2326</v>
      </c>
      <c r="K49" s="24" t="s">
        <v>2371</v>
      </c>
      <c r="L49" t="s">
        <v>1399</v>
      </c>
      <c r="M49" t="s">
        <v>1417</v>
      </c>
      <c r="N49" t="s">
        <v>1426</v>
      </c>
      <c r="O49" t="s">
        <v>1426</v>
      </c>
      <c r="P49" t="s">
        <v>1429</v>
      </c>
      <c r="Q49">
        <v>38</v>
      </c>
      <c r="R49" s="2">
        <v>8457780313974</v>
      </c>
      <c r="S49" s="3" t="s">
        <v>729</v>
      </c>
      <c r="T49" t="s">
        <v>1346</v>
      </c>
      <c r="U49" t="s">
        <v>1347</v>
      </c>
    </row>
    <row r="50" spans="1:21" x14ac:dyDescent="0.25">
      <c r="A50" t="s">
        <v>49</v>
      </c>
      <c r="B50" t="s">
        <v>2219</v>
      </c>
      <c r="C50" t="s">
        <v>54</v>
      </c>
      <c r="D50" t="s">
        <v>1478</v>
      </c>
      <c r="E50" t="str">
        <f>+CONCATENATE(D50,". FABRICADO EN ",M50,". PUNTERA DE ",N50,". PLANTILLA ",O50,". SUELA DE ",P50)</f>
        <v>BOTA SERRAJE S1+P+CI+SRC METALICO Gris 39. FABRICADO EN PIEL SERRAJE. PUNTERA DE Acero. PLANTILLA Acero. SUELA DE PU/PU DOBLE DENSIDAD</v>
      </c>
      <c r="F50" t="str">
        <f>PROPER(E50)</f>
        <v>Bota Serraje S1+P+Ci+Src Metalico Gris 39. Fabricado En Piel Serraje. Puntera De Acero. Plantilla Acero. Suela De Pu/Pu Doble Densidad</v>
      </c>
      <c r="G50" s="24">
        <f>VLOOKUP(B50,Tabla1[],2,0)</f>
        <v>11.9</v>
      </c>
      <c r="H50" s="24">
        <f>+G50/0.7</f>
        <v>17</v>
      </c>
      <c r="I50" s="24">
        <f>+H50*1.21</f>
        <v>20.57</v>
      </c>
      <c r="J50" s="24" t="s">
        <v>2326</v>
      </c>
      <c r="K50" s="24" t="s">
        <v>2371</v>
      </c>
      <c r="L50" t="s">
        <v>1399</v>
      </c>
      <c r="M50" t="s">
        <v>1417</v>
      </c>
      <c r="N50" t="s">
        <v>1426</v>
      </c>
      <c r="O50" t="s">
        <v>1426</v>
      </c>
      <c r="P50" t="s">
        <v>1429</v>
      </c>
      <c r="Q50">
        <v>39</v>
      </c>
      <c r="R50" s="2">
        <v>8457780313981</v>
      </c>
      <c r="S50" s="3" t="s">
        <v>730</v>
      </c>
      <c r="T50" t="s">
        <v>1346</v>
      </c>
      <c r="U50" t="s">
        <v>1347</v>
      </c>
    </row>
    <row r="51" spans="1:21" x14ac:dyDescent="0.25">
      <c r="A51" t="s">
        <v>49</v>
      </c>
      <c r="B51" t="s">
        <v>2219</v>
      </c>
      <c r="C51" t="s">
        <v>55</v>
      </c>
      <c r="D51" t="s">
        <v>1479</v>
      </c>
      <c r="E51" t="str">
        <f>+CONCATENATE(D51,". FABRICADO EN ",M51,". PUNTERA DE ",N51,". PLANTILLA ",O51,". SUELA DE ",P51)</f>
        <v>BOTA SERRAJE S1+P+CI+SRC METALICO Gris 40. FABRICADO EN PIEL SERRAJE. PUNTERA DE Acero. PLANTILLA Acero. SUELA DE PU/PU DOBLE DENSIDAD</v>
      </c>
      <c r="F51" t="str">
        <f>PROPER(E51)</f>
        <v>Bota Serraje S1+P+Ci+Src Metalico Gris 40. Fabricado En Piel Serraje. Puntera De Acero. Plantilla Acero. Suela De Pu/Pu Doble Densidad</v>
      </c>
      <c r="G51" s="24">
        <f>VLOOKUP(B51,Tabla1[],2,0)</f>
        <v>11.9</v>
      </c>
      <c r="H51" s="24">
        <f>+G51/0.7</f>
        <v>17</v>
      </c>
      <c r="I51" s="24">
        <f>+H51*1.21</f>
        <v>20.57</v>
      </c>
      <c r="J51" s="24" t="s">
        <v>2326</v>
      </c>
      <c r="K51" s="24" t="s">
        <v>2371</v>
      </c>
      <c r="L51" t="s">
        <v>1399</v>
      </c>
      <c r="M51" t="s">
        <v>1417</v>
      </c>
      <c r="N51" t="s">
        <v>1426</v>
      </c>
      <c r="O51" t="s">
        <v>1426</v>
      </c>
      <c r="P51" t="s">
        <v>1429</v>
      </c>
      <c r="Q51">
        <v>40</v>
      </c>
      <c r="R51" s="2">
        <v>8457780313998</v>
      </c>
      <c r="S51" s="3" t="s">
        <v>731</v>
      </c>
      <c r="T51" t="s">
        <v>1346</v>
      </c>
      <c r="U51" t="s">
        <v>1347</v>
      </c>
    </row>
    <row r="52" spans="1:21" x14ac:dyDescent="0.25">
      <c r="A52" t="s">
        <v>49</v>
      </c>
      <c r="B52" t="s">
        <v>2219</v>
      </c>
      <c r="C52" t="s">
        <v>56</v>
      </c>
      <c r="D52" t="s">
        <v>1480</v>
      </c>
      <c r="E52" t="str">
        <f>+CONCATENATE(D52,". FABRICADO EN ",M52,". PUNTERA DE ",N52,". PLANTILLA ",O52,". SUELA DE ",P52)</f>
        <v>BOTA SERRAJE S1+P+CI+SRC METALICO Gris 41. FABRICADO EN PIEL SERRAJE. PUNTERA DE Acero. PLANTILLA Acero. SUELA DE PU/PU DOBLE DENSIDAD</v>
      </c>
      <c r="F52" t="str">
        <f>PROPER(E52)</f>
        <v>Bota Serraje S1+P+Ci+Src Metalico Gris 41. Fabricado En Piel Serraje. Puntera De Acero. Plantilla Acero. Suela De Pu/Pu Doble Densidad</v>
      </c>
      <c r="G52" s="24">
        <f>VLOOKUP(B52,Tabla1[],2,0)</f>
        <v>11.9</v>
      </c>
      <c r="H52" s="24">
        <f>+G52/0.7</f>
        <v>17</v>
      </c>
      <c r="I52" s="24">
        <f>+H52*1.21</f>
        <v>20.57</v>
      </c>
      <c r="J52" s="24" t="s">
        <v>2326</v>
      </c>
      <c r="K52" s="24" t="s">
        <v>2371</v>
      </c>
      <c r="L52" t="s">
        <v>1399</v>
      </c>
      <c r="M52" t="s">
        <v>1417</v>
      </c>
      <c r="N52" t="s">
        <v>1426</v>
      </c>
      <c r="O52" t="s">
        <v>1426</v>
      </c>
      <c r="P52" t="s">
        <v>1429</v>
      </c>
      <c r="Q52">
        <v>41</v>
      </c>
      <c r="R52" s="2">
        <v>8457780314001</v>
      </c>
      <c r="S52" s="3" t="s">
        <v>732</v>
      </c>
      <c r="T52" t="s">
        <v>1346</v>
      </c>
      <c r="U52" t="s">
        <v>1347</v>
      </c>
    </row>
    <row r="53" spans="1:21" x14ac:dyDescent="0.25">
      <c r="A53" t="s">
        <v>49</v>
      </c>
      <c r="B53" t="s">
        <v>2219</v>
      </c>
      <c r="C53" t="s">
        <v>57</v>
      </c>
      <c r="D53" t="s">
        <v>1481</v>
      </c>
      <c r="E53" t="str">
        <f>+CONCATENATE(D53,". FABRICADO EN ",M53,". PUNTERA DE ",N53,". PLANTILLA ",O53,". SUELA DE ",P53)</f>
        <v>BOTA SERRAJE S1+P+CI+SRC METALICO Gris 42. FABRICADO EN PIEL SERRAJE. PUNTERA DE Acero. PLANTILLA Acero. SUELA DE PU/PU DOBLE DENSIDAD</v>
      </c>
      <c r="F53" t="str">
        <f>PROPER(E53)</f>
        <v>Bota Serraje S1+P+Ci+Src Metalico Gris 42. Fabricado En Piel Serraje. Puntera De Acero. Plantilla Acero. Suela De Pu/Pu Doble Densidad</v>
      </c>
      <c r="G53" s="24">
        <f>VLOOKUP(B53,Tabla1[],2,0)</f>
        <v>11.9</v>
      </c>
      <c r="H53" s="24">
        <f>+G53/0.7</f>
        <v>17</v>
      </c>
      <c r="I53" s="24">
        <f>+H53*1.21</f>
        <v>20.57</v>
      </c>
      <c r="J53" s="24" t="s">
        <v>2326</v>
      </c>
      <c r="K53" s="24" t="s">
        <v>2371</v>
      </c>
      <c r="L53" t="s">
        <v>1399</v>
      </c>
      <c r="M53" t="s">
        <v>1417</v>
      </c>
      <c r="N53" t="s">
        <v>1426</v>
      </c>
      <c r="O53" t="s">
        <v>1426</v>
      </c>
      <c r="P53" t="s">
        <v>1429</v>
      </c>
      <c r="Q53">
        <v>42</v>
      </c>
      <c r="R53" s="2">
        <v>8457780314018</v>
      </c>
      <c r="S53" s="3" t="s">
        <v>733</v>
      </c>
      <c r="T53" t="s">
        <v>1346</v>
      </c>
      <c r="U53" t="s">
        <v>1347</v>
      </c>
    </row>
    <row r="54" spans="1:21" x14ac:dyDescent="0.25">
      <c r="A54" t="s">
        <v>49</v>
      </c>
      <c r="B54" t="s">
        <v>2219</v>
      </c>
      <c r="C54" t="s">
        <v>58</v>
      </c>
      <c r="D54" t="s">
        <v>1482</v>
      </c>
      <c r="E54" t="str">
        <f>+CONCATENATE(D54,". FABRICADO EN ",M54,". PUNTERA DE ",N54,". PLANTILLA ",O54,". SUELA DE ",P54)</f>
        <v>BOTA SERRAJE S1+P+CI+SRC METALICO Gris 43. FABRICADO EN PIEL SERRAJE. PUNTERA DE Acero. PLANTILLA Acero. SUELA DE PU/PU DOBLE DENSIDAD</v>
      </c>
      <c r="F54" t="str">
        <f>PROPER(E54)</f>
        <v>Bota Serraje S1+P+Ci+Src Metalico Gris 43. Fabricado En Piel Serraje. Puntera De Acero. Plantilla Acero. Suela De Pu/Pu Doble Densidad</v>
      </c>
      <c r="G54" s="24">
        <f>VLOOKUP(B54,Tabla1[],2,0)</f>
        <v>11.9</v>
      </c>
      <c r="H54" s="24">
        <f>+G54/0.7</f>
        <v>17</v>
      </c>
      <c r="I54" s="24">
        <f>+H54*1.21</f>
        <v>20.57</v>
      </c>
      <c r="J54" s="24" t="s">
        <v>2326</v>
      </c>
      <c r="K54" s="24" t="s">
        <v>2371</v>
      </c>
      <c r="L54" t="s">
        <v>1399</v>
      </c>
      <c r="M54" t="s">
        <v>1417</v>
      </c>
      <c r="N54" t="s">
        <v>1426</v>
      </c>
      <c r="O54" t="s">
        <v>1426</v>
      </c>
      <c r="P54" t="s">
        <v>1429</v>
      </c>
      <c r="Q54">
        <v>43</v>
      </c>
      <c r="R54" s="2">
        <v>8457780314025</v>
      </c>
      <c r="S54" s="3" t="s">
        <v>734</v>
      </c>
      <c r="T54" t="s">
        <v>1346</v>
      </c>
      <c r="U54" t="s">
        <v>1347</v>
      </c>
    </row>
    <row r="55" spans="1:21" x14ac:dyDescent="0.25">
      <c r="A55" t="s">
        <v>49</v>
      </c>
      <c r="B55" t="s">
        <v>2219</v>
      </c>
      <c r="C55" t="s">
        <v>59</v>
      </c>
      <c r="D55" t="s">
        <v>1483</v>
      </c>
      <c r="E55" t="str">
        <f>+CONCATENATE(D55,". FABRICADO EN ",M55,". PUNTERA DE ",N55,". PLANTILLA ",O55,". SUELA DE ",P55)</f>
        <v>BOTA SERRAJE S1+P+CI+SRC METALICO Gris 44. FABRICADO EN PIEL SERRAJE. PUNTERA DE Acero. PLANTILLA Acero. SUELA DE PU/PU DOBLE DENSIDAD</v>
      </c>
      <c r="F55" t="str">
        <f>PROPER(E55)</f>
        <v>Bota Serraje S1+P+Ci+Src Metalico Gris 44. Fabricado En Piel Serraje. Puntera De Acero. Plantilla Acero. Suela De Pu/Pu Doble Densidad</v>
      </c>
      <c r="G55" s="24">
        <f>VLOOKUP(B55,Tabla1[],2,0)</f>
        <v>11.9</v>
      </c>
      <c r="H55" s="24">
        <f>+G55/0.7</f>
        <v>17</v>
      </c>
      <c r="I55" s="24">
        <f>+H55*1.21</f>
        <v>20.57</v>
      </c>
      <c r="J55" s="24" t="s">
        <v>2326</v>
      </c>
      <c r="K55" s="24" t="s">
        <v>2371</v>
      </c>
      <c r="L55" t="s">
        <v>1399</v>
      </c>
      <c r="M55" t="s">
        <v>1417</v>
      </c>
      <c r="N55" t="s">
        <v>1426</v>
      </c>
      <c r="O55" t="s">
        <v>1426</v>
      </c>
      <c r="P55" t="s">
        <v>1429</v>
      </c>
      <c r="Q55">
        <v>44</v>
      </c>
      <c r="R55" s="2">
        <v>8457780314032</v>
      </c>
      <c r="S55" s="3" t="s">
        <v>735</v>
      </c>
      <c r="T55" t="s">
        <v>1346</v>
      </c>
      <c r="U55" t="s">
        <v>1347</v>
      </c>
    </row>
    <row r="56" spans="1:21" x14ac:dyDescent="0.25">
      <c r="A56" t="s">
        <v>49</v>
      </c>
      <c r="B56" t="s">
        <v>2219</v>
      </c>
      <c r="C56" t="s">
        <v>60</v>
      </c>
      <c r="D56" t="s">
        <v>1484</v>
      </c>
      <c r="E56" t="str">
        <f>+CONCATENATE(D56,". FABRICADO EN ",M56,". PUNTERA DE ",N56,". PLANTILLA ",O56,". SUELA DE ",P56)</f>
        <v>BOTA SERRAJE S1+P+CI+SRC METALICO Gris 45. FABRICADO EN PIEL SERRAJE. PUNTERA DE Acero. PLANTILLA Acero. SUELA DE PU/PU DOBLE DENSIDAD</v>
      </c>
      <c r="F56" t="str">
        <f>PROPER(E56)</f>
        <v>Bota Serraje S1+P+Ci+Src Metalico Gris 45. Fabricado En Piel Serraje. Puntera De Acero. Plantilla Acero. Suela De Pu/Pu Doble Densidad</v>
      </c>
      <c r="G56" s="24">
        <f>VLOOKUP(B56,Tabla1[],2,0)</f>
        <v>11.9</v>
      </c>
      <c r="H56" s="24">
        <f>+G56/0.7</f>
        <v>17</v>
      </c>
      <c r="I56" s="24">
        <f>+H56*1.21</f>
        <v>20.57</v>
      </c>
      <c r="J56" s="24" t="s">
        <v>2326</v>
      </c>
      <c r="K56" s="24" t="s">
        <v>2371</v>
      </c>
      <c r="L56" t="s">
        <v>1399</v>
      </c>
      <c r="M56" t="s">
        <v>1417</v>
      </c>
      <c r="N56" t="s">
        <v>1426</v>
      </c>
      <c r="O56" t="s">
        <v>1426</v>
      </c>
      <c r="P56" t="s">
        <v>1429</v>
      </c>
      <c r="Q56">
        <v>45</v>
      </c>
      <c r="R56" s="2">
        <v>8457780314049</v>
      </c>
      <c r="S56" s="3" t="s">
        <v>736</v>
      </c>
      <c r="T56" t="s">
        <v>1346</v>
      </c>
      <c r="U56" t="s">
        <v>1347</v>
      </c>
    </row>
    <row r="57" spans="1:21" x14ac:dyDescent="0.25">
      <c r="A57" t="s">
        <v>49</v>
      </c>
      <c r="B57" t="s">
        <v>2219</v>
      </c>
      <c r="C57" t="s">
        <v>61</v>
      </c>
      <c r="D57" t="s">
        <v>1485</v>
      </c>
      <c r="E57" t="str">
        <f>+CONCATENATE(D57,". FABRICADO EN ",M57,". PUNTERA DE ",N57,". PLANTILLA ",O57,". SUELA DE ",P57)</f>
        <v>BOTA SERRAJE S1+P+CI+SRC METALICO Gris 46. FABRICADO EN PIEL SERRAJE. PUNTERA DE Acero. PLANTILLA Acero. SUELA DE PU/PU DOBLE DENSIDAD</v>
      </c>
      <c r="F57" t="str">
        <f>PROPER(E57)</f>
        <v>Bota Serraje S1+P+Ci+Src Metalico Gris 46. Fabricado En Piel Serraje. Puntera De Acero. Plantilla Acero. Suela De Pu/Pu Doble Densidad</v>
      </c>
      <c r="G57" s="24">
        <f>VLOOKUP(B57,Tabla1[],2,0)</f>
        <v>11.9</v>
      </c>
      <c r="H57" s="24">
        <f>+G57/0.7</f>
        <v>17</v>
      </c>
      <c r="I57" s="24">
        <f>+H57*1.21</f>
        <v>20.57</v>
      </c>
      <c r="J57" s="24" t="s">
        <v>2326</v>
      </c>
      <c r="K57" s="24" t="s">
        <v>2371</v>
      </c>
      <c r="L57" t="s">
        <v>1399</v>
      </c>
      <c r="M57" t="s">
        <v>1417</v>
      </c>
      <c r="N57" t="s">
        <v>1426</v>
      </c>
      <c r="O57" t="s">
        <v>1426</v>
      </c>
      <c r="P57" t="s">
        <v>1429</v>
      </c>
      <c r="Q57">
        <v>46</v>
      </c>
      <c r="R57" s="2">
        <v>8457780314056</v>
      </c>
      <c r="S57" s="3" t="s">
        <v>737</v>
      </c>
      <c r="T57" t="s">
        <v>1346</v>
      </c>
      <c r="U57" t="s">
        <v>1347</v>
      </c>
    </row>
    <row r="58" spans="1:21" x14ac:dyDescent="0.25">
      <c r="A58" t="s">
        <v>49</v>
      </c>
      <c r="B58" t="s">
        <v>2219</v>
      </c>
      <c r="C58" t="s">
        <v>62</v>
      </c>
      <c r="D58" t="s">
        <v>1486</v>
      </c>
      <c r="E58" t="str">
        <f>+CONCATENATE(D58,". FABRICADO EN ",M58,". PUNTERA DE ",N58,". PLANTILLA ",O58,". SUELA DE ",P58)</f>
        <v>BOTA SERRAJE S1+P+CI+SRC METALICO Gris 47. FABRICADO EN PIEL SERRAJE. PUNTERA DE Acero. PLANTILLA Acero. SUELA DE PU/PU DOBLE DENSIDAD</v>
      </c>
      <c r="F58" t="str">
        <f>PROPER(E58)</f>
        <v>Bota Serraje S1+P+Ci+Src Metalico Gris 47. Fabricado En Piel Serraje. Puntera De Acero. Plantilla Acero. Suela De Pu/Pu Doble Densidad</v>
      </c>
      <c r="G58" s="24">
        <f>VLOOKUP(B58,Tabla1[],2,0)</f>
        <v>11.9</v>
      </c>
      <c r="H58" s="24">
        <f>+G58/0.7</f>
        <v>17</v>
      </c>
      <c r="I58" s="24">
        <f>+H58*1.21</f>
        <v>20.57</v>
      </c>
      <c r="J58" s="24" t="s">
        <v>2326</v>
      </c>
      <c r="K58" s="24" t="s">
        <v>2371</v>
      </c>
      <c r="L58" t="s">
        <v>1399</v>
      </c>
      <c r="M58" t="s">
        <v>1417</v>
      </c>
      <c r="N58" t="s">
        <v>1426</v>
      </c>
      <c r="O58" t="s">
        <v>1426</v>
      </c>
      <c r="P58" t="s">
        <v>1429</v>
      </c>
      <c r="Q58">
        <v>47</v>
      </c>
      <c r="R58" s="2">
        <v>8457780314063</v>
      </c>
      <c r="S58" s="3" t="s">
        <v>738</v>
      </c>
      <c r="T58" t="s">
        <v>1346</v>
      </c>
      <c r="U58" t="s">
        <v>1347</v>
      </c>
    </row>
    <row r="59" spans="1:21" x14ac:dyDescent="0.25">
      <c r="A59" t="s">
        <v>49</v>
      </c>
      <c r="B59" t="s">
        <v>2219</v>
      </c>
      <c r="C59" t="s">
        <v>63</v>
      </c>
      <c r="D59" t="s">
        <v>1487</v>
      </c>
      <c r="E59" t="str">
        <f>+CONCATENATE(D59,". FABRICADO EN ",M59,". PUNTERA DE ",N59,". PLANTILLA ",O59,". SUELA DE ",P59)</f>
        <v>BOTA SERRAJE S1+P+CI+SRC METALICO Gris 48. FABRICADO EN PIEL SERRAJE. PUNTERA DE Acero. PLANTILLA Acero. SUELA DE PU/PU DOBLE DENSIDAD</v>
      </c>
      <c r="F59" t="str">
        <f>PROPER(E59)</f>
        <v>Bota Serraje S1+P+Ci+Src Metalico Gris 48. Fabricado En Piel Serraje. Puntera De Acero. Plantilla Acero. Suela De Pu/Pu Doble Densidad</v>
      </c>
      <c r="G59" s="24">
        <f>VLOOKUP(B59,Tabla1[],2,0)</f>
        <v>11.9</v>
      </c>
      <c r="H59" s="24">
        <f>+G59/0.7</f>
        <v>17</v>
      </c>
      <c r="I59" s="24">
        <f>+H59*1.21</f>
        <v>20.57</v>
      </c>
      <c r="J59" s="24" t="s">
        <v>2326</v>
      </c>
      <c r="K59" s="24" t="s">
        <v>2371</v>
      </c>
      <c r="L59" t="s">
        <v>1399</v>
      </c>
      <c r="M59" t="s">
        <v>1417</v>
      </c>
      <c r="N59" t="s">
        <v>1426</v>
      </c>
      <c r="O59" t="s">
        <v>1426</v>
      </c>
      <c r="P59" t="s">
        <v>1429</v>
      </c>
      <c r="Q59">
        <v>48</v>
      </c>
      <c r="R59" s="2">
        <v>8457780314070</v>
      </c>
      <c r="S59" s="3" t="s">
        <v>739</v>
      </c>
      <c r="T59" t="s">
        <v>1346</v>
      </c>
      <c r="U59" t="s">
        <v>1347</v>
      </c>
    </row>
    <row r="60" spans="1:21" x14ac:dyDescent="0.25">
      <c r="A60" t="s">
        <v>64</v>
      </c>
      <c r="B60" t="s">
        <v>2220</v>
      </c>
      <c r="C60" t="s">
        <v>65</v>
      </c>
      <c r="D60" t="s">
        <v>1488</v>
      </c>
      <c r="E60" t="str">
        <f>+CONCATENATE(D60,". FABRICADO EN ",M60,". PUNTERA DE ",N60,". PLANTILLA ",O60,". SUELA DE ",P60)</f>
        <v>BOTA PU S4+CI+SRC Blanco 36. FABRICADO EN PU. PUNTERA DE Acero. PLANTILLA No lleva. SUELA DE PU/PU DOBLE DENSIDAD</v>
      </c>
      <c r="F60" t="str">
        <f>PROPER(E60)</f>
        <v>Bota Pu S4+Ci+Src Blanco 36. Fabricado En Pu. Puntera De Acero. Plantilla No Lleva. Suela De Pu/Pu Doble Densidad</v>
      </c>
      <c r="G60" s="24">
        <f>VLOOKUP(B60,Tabla1[],2,0)</f>
        <v>25.6</v>
      </c>
      <c r="H60" s="24">
        <f>+G60/0.72</f>
        <v>35.555555555555557</v>
      </c>
      <c r="I60" s="24">
        <f>+H60*1.21</f>
        <v>43.022222222222226</v>
      </c>
      <c r="J60" s="24" t="s">
        <v>2326</v>
      </c>
      <c r="K60" s="24" t="s">
        <v>2368</v>
      </c>
      <c r="L60" t="s">
        <v>1400</v>
      </c>
      <c r="M60" t="s">
        <v>1391</v>
      </c>
      <c r="N60" t="s">
        <v>1426</v>
      </c>
      <c r="O60" t="s">
        <v>1427</v>
      </c>
      <c r="P60" t="s">
        <v>1429</v>
      </c>
      <c r="Q60">
        <v>36</v>
      </c>
      <c r="R60" s="2">
        <v>8457780321894</v>
      </c>
      <c r="S60" s="3" t="s">
        <v>740</v>
      </c>
      <c r="T60" t="s">
        <v>1356</v>
      </c>
    </row>
    <row r="61" spans="1:21" x14ac:dyDescent="0.25">
      <c r="A61" t="s">
        <v>64</v>
      </c>
      <c r="B61" t="s">
        <v>2220</v>
      </c>
      <c r="C61" t="s">
        <v>66</v>
      </c>
      <c r="D61" t="s">
        <v>1489</v>
      </c>
      <c r="E61" t="str">
        <f>+CONCATENATE(D61,". FABRICADO EN ",M61,". PUNTERA DE ",N61,". PLANTILLA ",O61,". SUELA DE ",P61)</f>
        <v>BOTA PU S4+CI+SRC Blanco 37. FABRICADO EN PU. PUNTERA DE Acero. PLANTILLA No lleva. SUELA DE PU/PU DOBLE DENSIDAD</v>
      </c>
      <c r="F61" t="str">
        <f>PROPER(E61)</f>
        <v>Bota Pu S4+Ci+Src Blanco 37. Fabricado En Pu. Puntera De Acero. Plantilla No Lleva. Suela De Pu/Pu Doble Densidad</v>
      </c>
      <c r="G61" s="24">
        <f>VLOOKUP(B61,Tabla1[],2,0)</f>
        <v>25.6</v>
      </c>
      <c r="H61" s="24">
        <f>+G61/0.72</f>
        <v>35.555555555555557</v>
      </c>
      <c r="I61" s="24">
        <f>+H61*1.21</f>
        <v>43.022222222222226</v>
      </c>
      <c r="J61" s="24" t="s">
        <v>2326</v>
      </c>
      <c r="K61" s="24" t="s">
        <v>2368</v>
      </c>
      <c r="L61" t="s">
        <v>1400</v>
      </c>
      <c r="M61" t="s">
        <v>1391</v>
      </c>
      <c r="N61" t="s">
        <v>1426</v>
      </c>
      <c r="O61" t="s">
        <v>1427</v>
      </c>
      <c r="P61" t="s">
        <v>1429</v>
      </c>
      <c r="Q61">
        <v>37</v>
      </c>
      <c r="R61" s="2">
        <v>8457780321900</v>
      </c>
      <c r="S61" s="3" t="s">
        <v>741</v>
      </c>
      <c r="T61" t="s">
        <v>1356</v>
      </c>
    </row>
    <row r="62" spans="1:21" x14ac:dyDescent="0.25">
      <c r="A62" t="s">
        <v>64</v>
      </c>
      <c r="B62" t="s">
        <v>2220</v>
      </c>
      <c r="C62" t="s">
        <v>67</v>
      </c>
      <c r="D62" t="s">
        <v>1490</v>
      </c>
      <c r="E62" t="str">
        <f>+CONCATENATE(D62,". FABRICADO EN ",M62,". PUNTERA DE ",N62,". PLANTILLA ",O62,". SUELA DE ",P62)</f>
        <v>BOTA PU S4+CI+SRC Blanco 38. FABRICADO EN PU. PUNTERA DE Acero. PLANTILLA No lleva. SUELA DE PU/PU DOBLE DENSIDAD</v>
      </c>
      <c r="F62" t="str">
        <f>PROPER(E62)</f>
        <v>Bota Pu S4+Ci+Src Blanco 38. Fabricado En Pu. Puntera De Acero. Plantilla No Lleva. Suela De Pu/Pu Doble Densidad</v>
      </c>
      <c r="G62" s="24">
        <f>VLOOKUP(B62,Tabla1[],2,0)</f>
        <v>25.6</v>
      </c>
      <c r="H62" s="24">
        <f>+G62/0.72</f>
        <v>35.555555555555557</v>
      </c>
      <c r="I62" s="24">
        <f>+H62*1.21</f>
        <v>43.022222222222226</v>
      </c>
      <c r="J62" s="24" t="s">
        <v>2326</v>
      </c>
      <c r="K62" s="24" t="s">
        <v>2368</v>
      </c>
      <c r="L62" t="s">
        <v>1400</v>
      </c>
      <c r="M62" t="s">
        <v>1391</v>
      </c>
      <c r="N62" t="s">
        <v>1426</v>
      </c>
      <c r="O62" t="s">
        <v>1427</v>
      </c>
      <c r="P62" t="s">
        <v>1429</v>
      </c>
      <c r="Q62">
        <v>38</v>
      </c>
      <c r="R62" s="2">
        <v>8457780321917</v>
      </c>
      <c r="S62" s="3" t="s">
        <v>742</v>
      </c>
      <c r="T62" t="s">
        <v>1356</v>
      </c>
    </row>
    <row r="63" spans="1:21" x14ac:dyDescent="0.25">
      <c r="A63" t="s">
        <v>64</v>
      </c>
      <c r="B63" t="s">
        <v>2220</v>
      </c>
      <c r="C63" t="s">
        <v>68</v>
      </c>
      <c r="D63" t="s">
        <v>1491</v>
      </c>
      <c r="E63" t="str">
        <f>+CONCATENATE(D63,". FABRICADO EN ",M63,". PUNTERA DE ",N63,". PLANTILLA ",O63,". SUELA DE ",P63)</f>
        <v>BOTA PU S4+CI+SRC Blanco 39. FABRICADO EN PU. PUNTERA DE Acero. PLANTILLA No lleva. SUELA DE PU/PU DOBLE DENSIDAD</v>
      </c>
      <c r="F63" t="str">
        <f>PROPER(E63)</f>
        <v>Bota Pu S4+Ci+Src Blanco 39. Fabricado En Pu. Puntera De Acero. Plantilla No Lleva. Suela De Pu/Pu Doble Densidad</v>
      </c>
      <c r="G63" s="24">
        <f>VLOOKUP(B63,Tabla1[],2,0)</f>
        <v>25.6</v>
      </c>
      <c r="H63" s="24">
        <f>+G63/0.72</f>
        <v>35.555555555555557</v>
      </c>
      <c r="I63" s="24">
        <f>+H63*1.21</f>
        <v>43.022222222222226</v>
      </c>
      <c r="J63" s="24" t="s">
        <v>2326</v>
      </c>
      <c r="K63" s="24" t="s">
        <v>2368</v>
      </c>
      <c r="L63" t="s">
        <v>1400</v>
      </c>
      <c r="M63" t="s">
        <v>1391</v>
      </c>
      <c r="N63" t="s">
        <v>1426</v>
      </c>
      <c r="O63" t="s">
        <v>1427</v>
      </c>
      <c r="P63" t="s">
        <v>1429</v>
      </c>
      <c r="Q63">
        <v>39</v>
      </c>
      <c r="R63" s="2">
        <v>8457780321924</v>
      </c>
      <c r="S63" s="3" t="s">
        <v>743</v>
      </c>
      <c r="T63" t="s">
        <v>1356</v>
      </c>
    </row>
    <row r="64" spans="1:21" x14ac:dyDescent="0.25">
      <c r="A64" t="s">
        <v>64</v>
      </c>
      <c r="B64" t="s">
        <v>2220</v>
      </c>
      <c r="C64" t="s">
        <v>69</v>
      </c>
      <c r="D64" t="s">
        <v>1492</v>
      </c>
      <c r="E64" t="str">
        <f>+CONCATENATE(D64,". FABRICADO EN ",M64,". PUNTERA DE ",N64,". PLANTILLA ",O64,". SUELA DE ",P64)</f>
        <v>BOTA PU S4+CI+SRC Blanco 40. FABRICADO EN PU. PUNTERA DE Acero. PLANTILLA No lleva. SUELA DE PU/PU DOBLE DENSIDAD</v>
      </c>
      <c r="F64" t="str">
        <f>PROPER(E64)</f>
        <v>Bota Pu S4+Ci+Src Blanco 40. Fabricado En Pu. Puntera De Acero. Plantilla No Lleva. Suela De Pu/Pu Doble Densidad</v>
      </c>
      <c r="G64" s="24">
        <f>VLOOKUP(B64,Tabla1[],2,0)</f>
        <v>25.6</v>
      </c>
      <c r="H64" s="24">
        <f>+G64/0.72</f>
        <v>35.555555555555557</v>
      </c>
      <c r="I64" s="24">
        <f>+H64*1.21</f>
        <v>43.022222222222226</v>
      </c>
      <c r="J64" s="24" t="s">
        <v>2326</v>
      </c>
      <c r="K64" s="24" t="s">
        <v>2368</v>
      </c>
      <c r="L64" t="s">
        <v>1400</v>
      </c>
      <c r="M64" t="s">
        <v>1391</v>
      </c>
      <c r="N64" t="s">
        <v>1426</v>
      </c>
      <c r="O64" t="s">
        <v>1427</v>
      </c>
      <c r="P64" t="s">
        <v>1429</v>
      </c>
      <c r="Q64">
        <v>40</v>
      </c>
      <c r="R64" s="2">
        <v>8457780321931</v>
      </c>
      <c r="S64" s="3" t="s">
        <v>744</v>
      </c>
      <c r="T64" t="s">
        <v>1356</v>
      </c>
    </row>
    <row r="65" spans="1:21" x14ac:dyDescent="0.25">
      <c r="A65" t="s">
        <v>64</v>
      </c>
      <c r="B65" t="s">
        <v>2220</v>
      </c>
      <c r="C65" t="s">
        <v>70</v>
      </c>
      <c r="D65" t="s">
        <v>1493</v>
      </c>
      <c r="E65" t="str">
        <f>+CONCATENATE(D65,". FABRICADO EN ",M65,". PUNTERA DE ",N65,". PLANTILLA ",O65,". SUELA DE ",P65)</f>
        <v>BOTA PU S4+CI+SRC Blanco 41. FABRICADO EN PU. PUNTERA DE Acero. PLANTILLA No lleva. SUELA DE PU/PU DOBLE DENSIDAD</v>
      </c>
      <c r="F65" t="str">
        <f>PROPER(E65)</f>
        <v>Bota Pu S4+Ci+Src Blanco 41. Fabricado En Pu. Puntera De Acero. Plantilla No Lleva. Suela De Pu/Pu Doble Densidad</v>
      </c>
      <c r="G65" s="24">
        <f>VLOOKUP(B65,Tabla1[],2,0)</f>
        <v>25.6</v>
      </c>
      <c r="H65" s="24">
        <f>+G65/0.72</f>
        <v>35.555555555555557</v>
      </c>
      <c r="I65" s="24">
        <f>+H65*1.21</f>
        <v>43.022222222222226</v>
      </c>
      <c r="J65" s="24" t="s">
        <v>2326</v>
      </c>
      <c r="K65" s="24" t="s">
        <v>2368</v>
      </c>
      <c r="L65" t="s">
        <v>1400</v>
      </c>
      <c r="M65" t="s">
        <v>1391</v>
      </c>
      <c r="N65" t="s">
        <v>1426</v>
      </c>
      <c r="O65" t="s">
        <v>1427</v>
      </c>
      <c r="P65" t="s">
        <v>1429</v>
      </c>
      <c r="Q65">
        <v>41</v>
      </c>
      <c r="R65" s="2">
        <v>8457780321948</v>
      </c>
      <c r="S65" s="3" t="s">
        <v>745</v>
      </c>
      <c r="T65" t="s">
        <v>1356</v>
      </c>
    </row>
    <row r="66" spans="1:21" x14ac:dyDescent="0.25">
      <c r="A66" t="s">
        <v>64</v>
      </c>
      <c r="B66" t="s">
        <v>2220</v>
      </c>
      <c r="C66" t="s">
        <v>71</v>
      </c>
      <c r="D66" t="s">
        <v>1494</v>
      </c>
      <c r="E66" t="str">
        <f>+CONCATENATE(D66,". FABRICADO EN ",M66,". PUNTERA DE ",N66,". PLANTILLA ",O66,". SUELA DE ",P66)</f>
        <v>BOTA PU S4+CI+SRC Blanco 42. FABRICADO EN PU. PUNTERA DE Acero. PLANTILLA No lleva. SUELA DE PU/PU DOBLE DENSIDAD</v>
      </c>
      <c r="F66" t="str">
        <f>PROPER(E66)</f>
        <v>Bota Pu S4+Ci+Src Blanco 42. Fabricado En Pu. Puntera De Acero. Plantilla No Lleva. Suela De Pu/Pu Doble Densidad</v>
      </c>
      <c r="G66" s="24">
        <f>VLOOKUP(B66,Tabla1[],2,0)</f>
        <v>25.6</v>
      </c>
      <c r="H66" s="24">
        <f>+G66/0.72</f>
        <v>35.555555555555557</v>
      </c>
      <c r="I66" s="24">
        <f>+H66*1.21</f>
        <v>43.022222222222226</v>
      </c>
      <c r="J66" s="24" t="s">
        <v>2326</v>
      </c>
      <c r="K66" s="24" t="s">
        <v>2368</v>
      </c>
      <c r="L66" t="s">
        <v>1400</v>
      </c>
      <c r="M66" t="s">
        <v>1391</v>
      </c>
      <c r="N66" t="s">
        <v>1426</v>
      </c>
      <c r="O66" t="s">
        <v>1427</v>
      </c>
      <c r="P66" t="s">
        <v>1429</v>
      </c>
      <c r="Q66">
        <v>42</v>
      </c>
      <c r="R66" s="2">
        <v>8457780321955</v>
      </c>
      <c r="S66" s="3" t="s">
        <v>746</v>
      </c>
      <c r="T66" t="s">
        <v>1356</v>
      </c>
    </row>
    <row r="67" spans="1:21" x14ac:dyDescent="0.25">
      <c r="A67" t="s">
        <v>64</v>
      </c>
      <c r="B67" t="s">
        <v>2220</v>
      </c>
      <c r="C67" t="s">
        <v>72</v>
      </c>
      <c r="D67" t="s">
        <v>1495</v>
      </c>
      <c r="E67" t="str">
        <f>+CONCATENATE(D67,". FABRICADO EN ",M67,". PUNTERA DE ",N67,". PLANTILLA ",O67,". SUELA DE ",P67)</f>
        <v>BOTA PU S4+CI+SRC Blanco 43. FABRICADO EN PU. PUNTERA DE Acero. PLANTILLA No lleva. SUELA DE PU/PU DOBLE DENSIDAD</v>
      </c>
      <c r="F67" t="str">
        <f>PROPER(E67)</f>
        <v>Bota Pu S4+Ci+Src Blanco 43. Fabricado En Pu. Puntera De Acero. Plantilla No Lleva. Suela De Pu/Pu Doble Densidad</v>
      </c>
      <c r="G67" s="24">
        <f>VLOOKUP(B67,Tabla1[],2,0)</f>
        <v>25.6</v>
      </c>
      <c r="H67" s="24">
        <f>+G67/0.72</f>
        <v>35.555555555555557</v>
      </c>
      <c r="I67" s="24">
        <f>+H67*1.21</f>
        <v>43.022222222222226</v>
      </c>
      <c r="J67" s="24" t="s">
        <v>2326</v>
      </c>
      <c r="K67" s="24" t="s">
        <v>2368</v>
      </c>
      <c r="L67" t="s">
        <v>1400</v>
      </c>
      <c r="M67" t="s">
        <v>1391</v>
      </c>
      <c r="N67" t="s">
        <v>1426</v>
      </c>
      <c r="O67" t="s">
        <v>1427</v>
      </c>
      <c r="P67" t="s">
        <v>1429</v>
      </c>
      <c r="Q67">
        <v>43</v>
      </c>
      <c r="R67" s="2">
        <v>8457780321962</v>
      </c>
      <c r="S67" s="3" t="s">
        <v>747</v>
      </c>
      <c r="T67" t="s">
        <v>1356</v>
      </c>
    </row>
    <row r="68" spans="1:21" x14ac:dyDescent="0.25">
      <c r="A68" t="s">
        <v>64</v>
      </c>
      <c r="B68" t="s">
        <v>2220</v>
      </c>
      <c r="C68" t="s">
        <v>73</v>
      </c>
      <c r="D68" t="s">
        <v>1496</v>
      </c>
      <c r="E68" t="str">
        <f>+CONCATENATE(D68,". FABRICADO EN ",M68,". PUNTERA DE ",N68,". PLANTILLA ",O68,". SUELA DE ",P68)</f>
        <v>BOTA PU S4+CI+SRC Blanco 44. FABRICADO EN PU. PUNTERA DE Acero. PLANTILLA No lleva. SUELA DE PU/PU DOBLE DENSIDAD</v>
      </c>
      <c r="F68" t="str">
        <f>PROPER(E68)</f>
        <v>Bota Pu S4+Ci+Src Blanco 44. Fabricado En Pu. Puntera De Acero. Plantilla No Lleva. Suela De Pu/Pu Doble Densidad</v>
      </c>
      <c r="G68" s="24">
        <f>VLOOKUP(B68,Tabla1[],2,0)</f>
        <v>25.6</v>
      </c>
      <c r="H68" s="24">
        <f>+G68/0.72</f>
        <v>35.555555555555557</v>
      </c>
      <c r="I68" s="24">
        <f>+H68*1.21</f>
        <v>43.022222222222226</v>
      </c>
      <c r="J68" s="24" t="s">
        <v>2326</v>
      </c>
      <c r="K68" s="24" t="s">
        <v>2368</v>
      </c>
      <c r="L68" t="s">
        <v>1400</v>
      </c>
      <c r="M68" t="s">
        <v>1391</v>
      </c>
      <c r="N68" t="s">
        <v>1426</v>
      </c>
      <c r="O68" t="s">
        <v>1427</v>
      </c>
      <c r="P68" t="s">
        <v>1429</v>
      </c>
      <c r="Q68">
        <v>44</v>
      </c>
      <c r="R68" s="2">
        <v>8457780321979</v>
      </c>
      <c r="S68" s="3" t="s">
        <v>748</v>
      </c>
      <c r="T68" t="s">
        <v>1356</v>
      </c>
    </row>
    <row r="69" spans="1:21" x14ac:dyDescent="0.25">
      <c r="A69" t="s">
        <v>64</v>
      </c>
      <c r="B69" t="s">
        <v>2220</v>
      </c>
      <c r="C69" t="s">
        <v>74</v>
      </c>
      <c r="D69" t="s">
        <v>1497</v>
      </c>
      <c r="E69" t="str">
        <f>+CONCATENATE(D69,". FABRICADO EN ",M69,". PUNTERA DE ",N69,". PLANTILLA ",O69,". SUELA DE ",P69)</f>
        <v>BOTA PU S4+CI+SRC Blanco 45. FABRICADO EN PU. PUNTERA DE Acero. PLANTILLA No lleva. SUELA DE PU/PU DOBLE DENSIDAD</v>
      </c>
      <c r="F69" t="str">
        <f>PROPER(E69)</f>
        <v>Bota Pu S4+Ci+Src Blanco 45. Fabricado En Pu. Puntera De Acero. Plantilla No Lleva. Suela De Pu/Pu Doble Densidad</v>
      </c>
      <c r="G69" s="24">
        <f>VLOOKUP(B69,Tabla1[],2,0)</f>
        <v>25.6</v>
      </c>
      <c r="H69" s="24">
        <f>+G69/0.72</f>
        <v>35.555555555555557</v>
      </c>
      <c r="I69" s="24">
        <f>+H69*1.21</f>
        <v>43.022222222222226</v>
      </c>
      <c r="J69" s="24" t="s">
        <v>2326</v>
      </c>
      <c r="K69" s="24" t="s">
        <v>2368</v>
      </c>
      <c r="L69" t="s">
        <v>1400</v>
      </c>
      <c r="M69" t="s">
        <v>1391</v>
      </c>
      <c r="N69" t="s">
        <v>1426</v>
      </c>
      <c r="O69" t="s">
        <v>1427</v>
      </c>
      <c r="P69" t="s">
        <v>1429</v>
      </c>
      <c r="Q69">
        <v>45</v>
      </c>
      <c r="R69" s="2">
        <v>8457780321986</v>
      </c>
      <c r="S69" s="3" t="s">
        <v>749</v>
      </c>
      <c r="T69" t="s">
        <v>1356</v>
      </c>
    </row>
    <row r="70" spans="1:21" x14ac:dyDescent="0.25">
      <c r="A70" t="s">
        <v>64</v>
      </c>
      <c r="B70" t="s">
        <v>2220</v>
      </c>
      <c r="C70" t="s">
        <v>75</v>
      </c>
      <c r="D70" t="s">
        <v>1498</v>
      </c>
      <c r="E70" t="str">
        <f>+CONCATENATE(D70,". FABRICADO EN ",M70,". PUNTERA DE ",N70,". PLANTILLA ",O70,". SUELA DE ",P70)</f>
        <v>BOTA PU S4+CI+SRC Blanco 46. FABRICADO EN PU. PUNTERA DE Acero. PLANTILLA No lleva. SUELA DE PU/PU DOBLE DENSIDAD</v>
      </c>
      <c r="F70" t="str">
        <f>PROPER(E70)</f>
        <v>Bota Pu S4+Ci+Src Blanco 46. Fabricado En Pu. Puntera De Acero. Plantilla No Lleva. Suela De Pu/Pu Doble Densidad</v>
      </c>
      <c r="G70" s="24">
        <f>VLOOKUP(B70,Tabla1[],2,0)</f>
        <v>25.6</v>
      </c>
      <c r="H70" s="24">
        <f>+G70/0.72</f>
        <v>35.555555555555557</v>
      </c>
      <c r="I70" s="24">
        <f>+H70*1.21</f>
        <v>43.022222222222226</v>
      </c>
      <c r="J70" s="24" t="s">
        <v>2326</v>
      </c>
      <c r="K70" s="24" t="s">
        <v>2368</v>
      </c>
      <c r="L70" t="s">
        <v>1400</v>
      </c>
      <c r="M70" t="s">
        <v>1391</v>
      </c>
      <c r="N70" t="s">
        <v>1426</v>
      </c>
      <c r="O70" t="s">
        <v>1427</v>
      </c>
      <c r="P70" t="s">
        <v>1429</v>
      </c>
      <c r="Q70">
        <v>46</v>
      </c>
      <c r="R70" s="2">
        <v>8457780321993</v>
      </c>
      <c r="S70" s="3" t="s">
        <v>750</v>
      </c>
      <c r="T70" t="s">
        <v>1356</v>
      </c>
    </row>
    <row r="71" spans="1:21" x14ac:dyDescent="0.25">
      <c r="A71" t="s">
        <v>64</v>
      </c>
      <c r="B71" t="s">
        <v>2220</v>
      </c>
      <c r="C71" t="s">
        <v>76</v>
      </c>
      <c r="D71" t="s">
        <v>1499</v>
      </c>
      <c r="E71" t="str">
        <f>+CONCATENATE(D71,". FABRICADO EN ",M71,". PUNTERA DE ",N71,". PLANTILLA ",O71,". SUELA DE ",P71)</f>
        <v>BOTA PU S4+CI+SRC Blanco 47. FABRICADO EN PU. PUNTERA DE Acero. PLANTILLA No lleva. SUELA DE PU/PU DOBLE DENSIDAD</v>
      </c>
      <c r="F71" t="str">
        <f>PROPER(E71)</f>
        <v>Bota Pu S4+Ci+Src Blanco 47. Fabricado En Pu. Puntera De Acero. Plantilla No Lleva. Suela De Pu/Pu Doble Densidad</v>
      </c>
      <c r="G71" s="24">
        <f>VLOOKUP(B71,Tabla1[],2,0)</f>
        <v>25.6</v>
      </c>
      <c r="H71" s="24">
        <f>+G71/0.72</f>
        <v>35.555555555555557</v>
      </c>
      <c r="I71" s="24">
        <f>+H71*1.21</f>
        <v>43.022222222222226</v>
      </c>
      <c r="J71" s="24" t="s">
        <v>2326</v>
      </c>
      <c r="K71" s="24" t="s">
        <v>2368</v>
      </c>
      <c r="L71" t="s">
        <v>1400</v>
      </c>
      <c r="M71" t="s">
        <v>1391</v>
      </c>
      <c r="N71" t="s">
        <v>1426</v>
      </c>
      <c r="O71" t="s">
        <v>1427</v>
      </c>
      <c r="P71" t="s">
        <v>1429</v>
      </c>
      <c r="Q71">
        <v>47</v>
      </c>
      <c r="R71" s="2">
        <v>8457780322006</v>
      </c>
      <c r="S71" s="3" t="s">
        <v>751</v>
      </c>
      <c r="T71" t="s">
        <v>1356</v>
      </c>
    </row>
    <row r="72" spans="1:21" x14ac:dyDescent="0.25">
      <c r="A72" t="s">
        <v>64</v>
      </c>
      <c r="B72" t="s">
        <v>2220</v>
      </c>
      <c r="C72" t="s">
        <v>77</v>
      </c>
      <c r="D72" t="s">
        <v>1500</v>
      </c>
      <c r="E72" t="str">
        <f>+CONCATENATE(D72,". FABRICADO EN ",M72,". PUNTERA DE ",N72,". PLANTILLA ",O72,". SUELA DE ",P72)</f>
        <v>BOTA PU S4+CI+SRC Blanco 48. FABRICADO EN PU. PUNTERA DE Acero. PLANTILLA No lleva. SUELA DE PU/PU DOBLE DENSIDAD</v>
      </c>
      <c r="F72" t="str">
        <f>PROPER(E72)</f>
        <v>Bota Pu S4+Ci+Src Blanco 48. Fabricado En Pu. Puntera De Acero. Plantilla No Lleva. Suela De Pu/Pu Doble Densidad</v>
      </c>
      <c r="G72" s="24">
        <f>VLOOKUP(B72,Tabla1[],2,0)</f>
        <v>25.6</v>
      </c>
      <c r="H72" s="24">
        <f>+G72/0.72</f>
        <v>35.555555555555557</v>
      </c>
      <c r="I72" s="24">
        <f>+H72*1.21</f>
        <v>43.022222222222226</v>
      </c>
      <c r="J72" s="24" t="s">
        <v>2326</v>
      </c>
      <c r="K72" s="24" t="s">
        <v>2368</v>
      </c>
      <c r="L72" t="s">
        <v>1400</v>
      </c>
      <c r="M72" t="s">
        <v>1391</v>
      </c>
      <c r="N72" t="s">
        <v>1426</v>
      </c>
      <c r="O72" t="s">
        <v>1427</v>
      </c>
      <c r="P72" t="s">
        <v>1429</v>
      </c>
      <c r="Q72">
        <v>48</v>
      </c>
      <c r="R72" s="2">
        <v>8457780322013</v>
      </c>
      <c r="S72" s="3" t="s">
        <v>752</v>
      </c>
      <c r="T72" t="s">
        <v>1356</v>
      </c>
    </row>
    <row r="73" spans="1:21" x14ac:dyDescent="0.25">
      <c r="A73" t="s">
        <v>78</v>
      </c>
      <c r="B73" t="s">
        <v>2221</v>
      </c>
      <c r="C73" t="s">
        <v>79</v>
      </c>
      <c r="D73" t="s">
        <v>1501</v>
      </c>
      <c r="E73" t="str">
        <f>+CONCATENATE(D73,". FABRICADO EN ",M73,". PUNTERA DE ",N73,". PLANTILLA ",O73,". SUELA DE ",P73)</f>
        <v>ZAPATO PIEL S3+SRC METALICO Negro 35. FABRICADO EN PIEL GRABADA. PUNTERA DE Acero. PLANTILLA Acero. SUELA DE PU/PU DOBLE DENSIDAD</v>
      </c>
      <c r="F73" t="str">
        <f>PROPER(E73)</f>
        <v>Zapato Piel S3+Src Metalico Negro 35. Fabricado En Piel Grabada. Puntera De Acero. Plantilla Acero. Suela De Pu/Pu Doble Densidad</v>
      </c>
      <c r="G73" s="24">
        <f>VLOOKUP(B73,Tabla1[],2,0)</f>
        <v>9.9</v>
      </c>
      <c r="H73" s="24">
        <f>+G73/0.7</f>
        <v>14.142857142857144</v>
      </c>
      <c r="I73" s="24">
        <f>+H73*1.21</f>
        <v>17.112857142857145</v>
      </c>
      <c r="J73" s="24" t="s">
        <v>2359</v>
      </c>
      <c r="K73" s="24" t="s">
        <v>2365</v>
      </c>
      <c r="L73" t="s">
        <v>1392</v>
      </c>
      <c r="M73" t="s">
        <v>1415</v>
      </c>
      <c r="N73" t="s">
        <v>1426</v>
      </c>
      <c r="O73" t="s">
        <v>1426</v>
      </c>
      <c r="P73" t="s">
        <v>1429</v>
      </c>
      <c r="Q73">
        <v>35</v>
      </c>
      <c r="R73" s="2">
        <v>8457780303906</v>
      </c>
      <c r="S73" s="3" t="s">
        <v>753</v>
      </c>
      <c r="T73" s="1" t="s">
        <v>1348</v>
      </c>
      <c r="U73" s="1" t="s">
        <v>1349</v>
      </c>
    </row>
    <row r="74" spans="1:21" x14ac:dyDescent="0.25">
      <c r="A74" t="s">
        <v>78</v>
      </c>
      <c r="B74" t="s">
        <v>2221</v>
      </c>
      <c r="C74" t="s">
        <v>80</v>
      </c>
      <c r="D74" t="s">
        <v>1502</v>
      </c>
      <c r="E74" t="str">
        <f>+CONCATENATE(D74,". FABRICADO EN ",M74,". PUNTERA DE ",N74,". PLANTILLA ",O74,". SUELA DE ",P74)</f>
        <v>ZAPATO PIEL S3+SRC METALICO Negro 36. FABRICADO EN PIEL GRABADA. PUNTERA DE Acero. PLANTILLA Acero. SUELA DE PU/PU DOBLE DENSIDAD</v>
      </c>
      <c r="F74" t="str">
        <f>PROPER(E74)</f>
        <v>Zapato Piel S3+Src Metalico Negro 36. Fabricado En Piel Grabada. Puntera De Acero. Plantilla Acero. Suela De Pu/Pu Doble Densidad</v>
      </c>
      <c r="G74" s="24">
        <f>VLOOKUP(B74,Tabla1[],2,0)</f>
        <v>9.9</v>
      </c>
      <c r="H74" s="24">
        <f>+G74/0.7</f>
        <v>14.142857142857144</v>
      </c>
      <c r="I74" s="24">
        <f>+H74*1.21</f>
        <v>17.112857142857145</v>
      </c>
      <c r="J74" s="24" t="s">
        <v>2359</v>
      </c>
      <c r="K74" s="24" t="s">
        <v>2365</v>
      </c>
      <c r="L74" t="s">
        <v>1392</v>
      </c>
      <c r="M74" t="s">
        <v>1415</v>
      </c>
      <c r="N74" t="s">
        <v>1426</v>
      </c>
      <c r="O74" t="s">
        <v>1426</v>
      </c>
      <c r="P74" t="s">
        <v>1429</v>
      </c>
      <c r="Q74">
        <v>36</v>
      </c>
      <c r="R74" s="2">
        <v>8457780267765</v>
      </c>
      <c r="S74" s="3" t="s">
        <v>754</v>
      </c>
      <c r="T74" s="1" t="s">
        <v>1348</v>
      </c>
      <c r="U74" s="1" t="s">
        <v>1349</v>
      </c>
    </row>
    <row r="75" spans="1:21" x14ac:dyDescent="0.25">
      <c r="A75" t="s">
        <v>78</v>
      </c>
      <c r="B75" t="s">
        <v>2221</v>
      </c>
      <c r="C75" t="s">
        <v>81</v>
      </c>
      <c r="D75" t="s">
        <v>1503</v>
      </c>
      <c r="E75" t="str">
        <f>+CONCATENATE(D75,". FABRICADO EN ",M75,". PUNTERA DE ",N75,". PLANTILLA ",O75,". SUELA DE ",P75)</f>
        <v>ZAPATO PIEL S3+SRC METALICO Negro 37. FABRICADO EN PIEL GRABADA. PUNTERA DE Acero. PLANTILLA Acero. SUELA DE PU/PU DOBLE DENSIDAD</v>
      </c>
      <c r="F75" t="str">
        <f>PROPER(E75)</f>
        <v>Zapato Piel S3+Src Metalico Negro 37. Fabricado En Piel Grabada. Puntera De Acero. Plantilla Acero. Suela De Pu/Pu Doble Densidad</v>
      </c>
      <c r="G75" s="24">
        <f>VLOOKUP(B75,Tabla1[],2,0)</f>
        <v>9.9</v>
      </c>
      <c r="H75" s="24">
        <f>+G75/0.7</f>
        <v>14.142857142857144</v>
      </c>
      <c r="I75" s="24">
        <f>+H75*1.21</f>
        <v>17.112857142857145</v>
      </c>
      <c r="J75" s="24" t="s">
        <v>2359</v>
      </c>
      <c r="K75" s="24" t="s">
        <v>2365</v>
      </c>
      <c r="L75" t="s">
        <v>1392</v>
      </c>
      <c r="M75" t="s">
        <v>1415</v>
      </c>
      <c r="N75" t="s">
        <v>1426</v>
      </c>
      <c r="O75" t="s">
        <v>1426</v>
      </c>
      <c r="P75" t="s">
        <v>1429</v>
      </c>
      <c r="Q75">
        <v>37</v>
      </c>
      <c r="R75" s="2">
        <v>8457780267772</v>
      </c>
      <c r="S75" s="3" t="s">
        <v>755</v>
      </c>
      <c r="T75" s="1" t="s">
        <v>1348</v>
      </c>
      <c r="U75" s="1" t="s">
        <v>1349</v>
      </c>
    </row>
    <row r="76" spans="1:21" x14ac:dyDescent="0.25">
      <c r="A76" t="s">
        <v>78</v>
      </c>
      <c r="B76" t="s">
        <v>2221</v>
      </c>
      <c r="C76" t="s">
        <v>82</v>
      </c>
      <c r="D76" t="s">
        <v>1504</v>
      </c>
      <c r="E76" t="str">
        <f>+CONCATENATE(D76,". FABRICADO EN ",M76,". PUNTERA DE ",N76,". PLANTILLA ",O76,". SUELA DE ",P76)</f>
        <v>ZAPATO PIEL S3+SRC METALICO Negro 38. FABRICADO EN PIEL GRABADA. PUNTERA DE Acero. PLANTILLA Acero. SUELA DE PU/PU DOBLE DENSIDAD</v>
      </c>
      <c r="F76" t="str">
        <f>PROPER(E76)</f>
        <v>Zapato Piel S3+Src Metalico Negro 38. Fabricado En Piel Grabada. Puntera De Acero. Plantilla Acero. Suela De Pu/Pu Doble Densidad</v>
      </c>
      <c r="G76" s="24">
        <f>VLOOKUP(B76,Tabla1[],2,0)</f>
        <v>9.9</v>
      </c>
      <c r="H76" s="24">
        <f>+G76/0.7</f>
        <v>14.142857142857144</v>
      </c>
      <c r="I76" s="24">
        <f>+H76*1.21</f>
        <v>17.112857142857145</v>
      </c>
      <c r="J76" s="24" t="s">
        <v>2359</v>
      </c>
      <c r="K76" s="24" t="s">
        <v>2365</v>
      </c>
      <c r="L76" t="s">
        <v>1392</v>
      </c>
      <c r="M76" t="s">
        <v>1415</v>
      </c>
      <c r="N76" t="s">
        <v>1426</v>
      </c>
      <c r="O76" t="s">
        <v>1426</v>
      </c>
      <c r="P76" t="s">
        <v>1429</v>
      </c>
      <c r="Q76">
        <v>38</v>
      </c>
      <c r="R76" s="2">
        <v>8457780267789</v>
      </c>
      <c r="S76" s="3" t="s">
        <v>756</v>
      </c>
      <c r="T76" s="1" t="s">
        <v>1348</v>
      </c>
      <c r="U76" s="1" t="s">
        <v>1349</v>
      </c>
    </row>
    <row r="77" spans="1:21" x14ac:dyDescent="0.25">
      <c r="A77" t="s">
        <v>78</v>
      </c>
      <c r="B77" t="s">
        <v>2221</v>
      </c>
      <c r="C77" t="s">
        <v>83</v>
      </c>
      <c r="D77" t="s">
        <v>1505</v>
      </c>
      <c r="E77" t="str">
        <f>+CONCATENATE(D77,". FABRICADO EN ",M77,". PUNTERA DE ",N77,". PLANTILLA ",O77,". SUELA DE ",P77)</f>
        <v>ZAPATO PIEL S3+SRC METALICO Negro 39. FABRICADO EN PIEL GRABADA. PUNTERA DE Acero. PLANTILLA Acero. SUELA DE PU/PU DOBLE DENSIDAD</v>
      </c>
      <c r="F77" t="str">
        <f>PROPER(E77)</f>
        <v>Zapato Piel S3+Src Metalico Negro 39. Fabricado En Piel Grabada. Puntera De Acero. Plantilla Acero. Suela De Pu/Pu Doble Densidad</v>
      </c>
      <c r="G77" s="24">
        <f>VLOOKUP(B77,Tabla1[],2,0)</f>
        <v>9.9</v>
      </c>
      <c r="H77" s="24">
        <f>+G77/0.7</f>
        <v>14.142857142857144</v>
      </c>
      <c r="I77" s="24">
        <f>+H77*1.21</f>
        <v>17.112857142857145</v>
      </c>
      <c r="J77" s="24" t="s">
        <v>2359</v>
      </c>
      <c r="K77" s="24" t="s">
        <v>2365</v>
      </c>
      <c r="L77" t="s">
        <v>1392</v>
      </c>
      <c r="M77" t="s">
        <v>1415</v>
      </c>
      <c r="N77" t="s">
        <v>1426</v>
      </c>
      <c r="O77" t="s">
        <v>1426</v>
      </c>
      <c r="P77" t="s">
        <v>1429</v>
      </c>
      <c r="Q77">
        <v>39</v>
      </c>
      <c r="R77" s="2">
        <v>8457780267796</v>
      </c>
      <c r="S77" s="3" t="s">
        <v>757</v>
      </c>
      <c r="T77" s="1" t="s">
        <v>1348</v>
      </c>
      <c r="U77" s="1" t="s">
        <v>1349</v>
      </c>
    </row>
    <row r="78" spans="1:21" x14ac:dyDescent="0.25">
      <c r="A78" t="s">
        <v>78</v>
      </c>
      <c r="B78" t="s">
        <v>2221</v>
      </c>
      <c r="C78" t="s">
        <v>84</v>
      </c>
      <c r="D78" t="s">
        <v>1506</v>
      </c>
      <c r="E78" t="str">
        <f>+CONCATENATE(D78,". FABRICADO EN ",M78,". PUNTERA DE ",N78,". PLANTILLA ",O78,". SUELA DE ",P78)</f>
        <v>ZAPATO PIEL S3+SRC METALICO Negro 40. FABRICADO EN PIEL GRABADA. PUNTERA DE Acero. PLANTILLA Acero. SUELA DE PU/PU DOBLE DENSIDAD</v>
      </c>
      <c r="F78" t="str">
        <f>PROPER(E78)</f>
        <v>Zapato Piel S3+Src Metalico Negro 40. Fabricado En Piel Grabada. Puntera De Acero. Plantilla Acero. Suela De Pu/Pu Doble Densidad</v>
      </c>
      <c r="G78" s="24">
        <f>VLOOKUP(B78,Tabla1[],2,0)</f>
        <v>9.9</v>
      </c>
      <c r="H78" s="24">
        <f>+G78/0.7</f>
        <v>14.142857142857144</v>
      </c>
      <c r="I78" s="24">
        <f>+H78*1.21</f>
        <v>17.112857142857145</v>
      </c>
      <c r="J78" s="24" t="s">
        <v>2359</v>
      </c>
      <c r="K78" s="24" t="s">
        <v>2365</v>
      </c>
      <c r="L78" t="s">
        <v>1392</v>
      </c>
      <c r="M78" t="s">
        <v>1415</v>
      </c>
      <c r="N78" t="s">
        <v>1426</v>
      </c>
      <c r="O78" t="s">
        <v>1426</v>
      </c>
      <c r="P78" t="s">
        <v>1429</v>
      </c>
      <c r="Q78">
        <v>40</v>
      </c>
      <c r="R78" s="2">
        <v>8457780267802</v>
      </c>
      <c r="S78" s="3" t="s">
        <v>758</v>
      </c>
      <c r="T78" s="1" t="s">
        <v>1348</v>
      </c>
      <c r="U78" s="1" t="s">
        <v>1349</v>
      </c>
    </row>
    <row r="79" spans="1:21" x14ac:dyDescent="0.25">
      <c r="A79" t="s">
        <v>78</v>
      </c>
      <c r="B79" t="s">
        <v>2221</v>
      </c>
      <c r="C79" t="s">
        <v>85</v>
      </c>
      <c r="D79" t="s">
        <v>1507</v>
      </c>
      <c r="E79" t="str">
        <f>+CONCATENATE(D79,". FABRICADO EN ",M79,". PUNTERA DE ",N79,". PLANTILLA ",O79,". SUELA DE ",P79)</f>
        <v>ZAPATO PIEL S3+SRC METALICO Negro 41. FABRICADO EN PIEL GRABADA. PUNTERA DE Acero. PLANTILLA Acero. SUELA DE PU/PU DOBLE DENSIDAD</v>
      </c>
      <c r="F79" t="str">
        <f>PROPER(E79)</f>
        <v>Zapato Piel S3+Src Metalico Negro 41. Fabricado En Piel Grabada. Puntera De Acero. Plantilla Acero. Suela De Pu/Pu Doble Densidad</v>
      </c>
      <c r="G79" s="24">
        <f>VLOOKUP(B79,Tabla1[],2,0)</f>
        <v>9.9</v>
      </c>
      <c r="H79" s="24">
        <f>+G79/0.7</f>
        <v>14.142857142857144</v>
      </c>
      <c r="I79" s="24">
        <f>+H79*1.21</f>
        <v>17.112857142857145</v>
      </c>
      <c r="J79" s="24" t="s">
        <v>2359</v>
      </c>
      <c r="K79" s="24" t="s">
        <v>2365</v>
      </c>
      <c r="L79" t="s">
        <v>1392</v>
      </c>
      <c r="M79" t="s">
        <v>1415</v>
      </c>
      <c r="N79" t="s">
        <v>1426</v>
      </c>
      <c r="O79" t="s">
        <v>1426</v>
      </c>
      <c r="P79" t="s">
        <v>1429</v>
      </c>
      <c r="Q79">
        <v>41</v>
      </c>
      <c r="R79" s="2">
        <v>8457780267819</v>
      </c>
      <c r="S79" s="3" t="s">
        <v>759</v>
      </c>
      <c r="T79" s="1" t="s">
        <v>1348</v>
      </c>
      <c r="U79" s="1" t="s">
        <v>1349</v>
      </c>
    </row>
    <row r="80" spans="1:21" x14ac:dyDescent="0.25">
      <c r="A80" t="s">
        <v>78</v>
      </c>
      <c r="B80" t="s">
        <v>2221</v>
      </c>
      <c r="C80" t="s">
        <v>86</v>
      </c>
      <c r="D80" t="s">
        <v>1508</v>
      </c>
      <c r="E80" t="str">
        <f>+CONCATENATE(D80,". FABRICADO EN ",M80,". PUNTERA DE ",N80,". PLANTILLA ",O80,". SUELA DE ",P80)</f>
        <v>ZAPATO PIEL S3+SRC METALICO Negro 42. FABRICADO EN PIEL GRABADA. PUNTERA DE Acero. PLANTILLA Acero. SUELA DE PU/PU DOBLE DENSIDAD</v>
      </c>
      <c r="F80" t="str">
        <f>PROPER(E80)</f>
        <v>Zapato Piel S3+Src Metalico Negro 42. Fabricado En Piel Grabada. Puntera De Acero. Plantilla Acero. Suela De Pu/Pu Doble Densidad</v>
      </c>
      <c r="G80" s="24">
        <f>VLOOKUP(B80,Tabla1[],2,0)</f>
        <v>9.9</v>
      </c>
      <c r="H80" s="24">
        <f>+G80/0.7</f>
        <v>14.142857142857144</v>
      </c>
      <c r="I80" s="24">
        <f>+H80*1.21</f>
        <v>17.112857142857145</v>
      </c>
      <c r="J80" s="24" t="s">
        <v>2359</v>
      </c>
      <c r="K80" s="24" t="s">
        <v>2365</v>
      </c>
      <c r="L80" t="s">
        <v>1392</v>
      </c>
      <c r="M80" t="s">
        <v>1415</v>
      </c>
      <c r="N80" t="s">
        <v>1426</v>
      </c>
      <c r="O80" t="s">
        <v>1426</v>
      </c>
      <c r="P80" t="s">
        <v>1429</v>
      </c>
      <c r="Q80">
        <v>42</v>
      </c>
      <c r="R80" s="2">
        <v>8457780267826</v>
      </c>
      <c r="S80" s="3" t="s">
        <v>760</v>
      </c>
      <c r="T80" s="1" t="s">
        <v>1348</v>
      </c>
      <c r="U80" s="1" t="s">
        <v>1349</v>
      </c>
    </row>
    <row r="81" spans="1:21" x14ac:dyDescent="0.25">
      <c r="A81" t="s">
        <v>78</v>
      </c>
      <c r="B81" t="s">
        <v>2221</v>
      </c>
      <c r="C81" t="s">
        <v>87</v>
      </c>
      <c r="D81" t="s">
        <v>1509</v>
      </c>
      <c r="E81" t="str">
        <f>+CONCATENATE(D81,". FABRICADO EN ",M81,". PUNTERA DE ",N81,". PLANTILLA ",O81,". SUELA DE ",P81)</f>
        <v>ZAPATO PIEL S3+SRC METALICO Negro 43. FABRICADO EN PIEL GRABADA. PUNTERA DE Acero. PLANTILLA Acero. SUELA DE PU/PU DOBLE DENSIDAD</v>
      </c>
      <c r="F81" t="str">
        <f>PROPER(E81)</f>
        <v>Zapato Piel S3+Src Metalico Negro 43. Fabricado En Piel Grabada. Puntera De Acero. Plantilla Acero. Suela De Pu/Pu Doble Densidad</v>
      </c>
      <c r="G81" s="24">
        <f>VLOOKUP(B81,Tabla1[],2,0)</f>
        <v>9.9</v>
      </c>
      <c r="H81" s="24">
        <f>+G81/0.7</f>
        <v>14.142857142857144</v>
      </c>
      <c r="I81" s="24">
        <f>+H81*1.21</f>
        <v>17.112857142857145</v>
      </c>
      <c r="J81" s="24" t="s">
        <v>2359</v>
      </c>
      <c r="K81" s="24" t="s">
        <v>2365</v>
      </c>
      <c r="L81" t="s">
        <v>1392</v>
      </c>
      <c r="M81" t="s">
        <v>1415</v>
      </c>
      <c r="N81" t="s">
        <v>1426</v>
      </c>
      <c r="O81" t="s">
        <v>1426</v>
      </c>
      <c r="P81" t="s">
        <v>1429</v>
      </c>
      <c r="Q81">
        <v>43</v>
      </c>
      <c r="R81" s="2">
        <v>8457780267833</v>
      </c>
      <c r="S81" s="3" t="s">
        <v>761</v>
      </c>
      <c r="T81" s="1" t="s">
        <v>1348</v>
      </c>
      <c r="U81" s="1" t="s">
        <v>1349</v>
      </c>
    </row>
    <row r="82" spans="1:21" x14ac:dyDescent="0.25">
      <c r="A82" t="s">
        <v>78</v>
      </c>
      <c r="B82" t="s">
        <v>2221</v>
      </c>
      <c r="C82" t="s">
        <v>88</v>
      </c>
      <c r="D82" t="s">
        <v>1510</v>
      </c>
      <c r="E82" t="str">
        <f>+CONCATENATE(D82,". FABRICADO EN ",M82,". PUNTERA DE ",N82,". PLANTILLA ",O82,". SUELA DE ",P82)</f>
        <v>ZAPATO PIEL S3+SRC METALICO Negro 44. FABRICADO EN PIEL GRABADA. PUNTERA DE Acero. PLANTILLA Acero. SUELA DE PU/PU DOBLE DENSIDAD</v>
      </c>
      <c r="F82" t="str">
        <f>PROPER(E82)</f>
        <v>Zapato Piel S3+Src Metalico Negro 44. Fabricado En Piel Grabada. Puntera De Acero. Plantilla Acero. Suela De Pu/Pu Doble Densidad</v>
      </c>
      <c r="G82" s="24">
        <f>VLOOKUP(B82,Tabla1[],2,0)</f>
        <v>9.9</v>
      </c>
      <c r="H82" s="24">
        <f>+G82/0.7</f>
        <v>14.142857142857144</v>
      </c>
      <c r="I82" s="24">
        <f>+H82*1.21</f>
        <v>17.112857142857145</v>
      </c>
      <c r="J82" s="24" t="s">
        <v>2359</v>
      </c>
      <c r="K82" s="24" t="s">
        <v>2365</v>
      </c>
      <c r="L82" t="s">
        <v>1392</v>
      </c>
      <c r="M82" t="s">
        <v>1415</v>
      </c>
      <c r="N82" t="s">
        <v>1426</v>
      </c>
      <c r="O82" t="s">
        <v>1426</v>
      </c>
      <c r="P82" t="s">
        <v>1429</v>
      </c>
      <c r="Q82">
        <v>44</v>
      </c>
      <c r="R82" s="2">
        <v>8457780267840</v>
      </c>
      <c r="S82" s="3" t="s">
        <v>762</v>
      </c>
      <c r="T82" s="1" t="s">
        <v>1348</v>
      </c>
      <c r="U82" s="1" t="s">
        <v>1349</v>
      </c>
    </row>
    <row r="83" spans="1:21" x14ac:dyDescent="0.25">
      <c r="A83" t="s">
        <v>78</v>
      </c>
      <c r="B83" t="s">
        <v>2221</v>
      </c>
      <c r="C83" t="s">
        <v>89</v>
      </c>
      <c r="D83" t="s">
        <v>1511</v>
      </c>
      <c r="E83" t="str">
        <f>+CONCATENATE(D83,". FABRICADO EN ",M83,". PUNTERA DE ",N83,". PLANTILLA ",O83,". SUELA DE ",P83)</f>
        <v>ZAPATO PIEL S3+SRC METALICO Negro 45. FABRICADO EN PIEL GRABADA. PUNTERA DE Acero. PLANTILLA Acero. SUELA DE PU/PU DOBLE DENSIDAD</v>
      </c>
      <c r="F83" t="str">
        <f>PROPER(E83)</f>
        <v>Zapato Piel S3+Src Metalico Negro 45. Fabricado En Piel Grabada. Puntera De Acero. Plantilla Acero. Suela De Pu/Pu Doble Densidad</v>
      </c>
      <c r="G83" s="24">
        <f>VLOOKUP(B83,Tabla1[],2,0)</f>
        <v>9.9</v>
      </c>
      <c r="H83" s="24">
        <f>+G83/0.7</f>
        <v>14.142857142857144</v>
      </c>
      <c r="I83" s="24">
        <f>+H83*1.21</f>
        <v>17.112857142857145</v>
      </c>
      <c r="J83" s="24" t="s">
        <v>2359</v>
      </c>
      <c r="K83" s="24" t="s">
        <v>2365</v>
      </c>
      <c r="L83" t="s">
        <v>1392</v>
      </c>
      <c r="M83" t="s">
        <v>1415</v>
      </c>
      <c r="N83" t="s">
        <v>1426</v>
      </c>
      <c r="O83" t="s">
        <v>1426</v>
      </c>
      <c r="P83" t="s">
        <v>1429</v>
      </c>
      <c r="Q83">
        <v>45</v>
      </c>
      <c r="R83" s="2">
        <v>8457780267857</v>
      </c>
      <c r="S83" s="3" t="s">
        <v>763</v>
      </c>
      <c r="T83" s="1" t="s">
        <v>1348</v>
      </c>
      <c r="U83" s="1" t="s">
        <v>1349</v>
      </c>
    </row>
    <row r="84" spans="1:21" x14ac:dyDescent="0.25">
      <c r="A84" t="s">
        <v>78</v>
      </c>
      <c r="B84" t="s">
        <v>2221</v>
      </c>
      <c r="C84" t="s">
        <v>90</v>
      </c>
      <c r="D84" t="s">
        <v>1512</v>
      </c>
      <c r="E84" t="str">
        <f>+CONCATENATE(D84,". FABRICADO EN ",M84,". PUNTERA DE ",N84,". PLANTILLA ",O84,". SUELA DE ",P84)</f>
        <v>ZAPATO PIEL S3+SRC METALICO Negro 46. FABRICADO EN PIEL GRABADA. PUNTERA DE Acero. PLANTILLA Acero. SUELA DE PU/PU DOBLE DENSIDAD</v>
      </c>
      <c r="F84" t="str">
        <f>PROPER(E84)</f>
        <v>Zapato Piel S3+Src Metalico Negro 46. Fabricado En Piel Grabada. Puntera De Acero. Plantilla Acero. Suela De Pu/Pu Doble Densidad</v>
      </c>
      <c r="G84" s="24">
        <f>VLOOKUP(B84,Tabla1[],2,0)</f>
        <v>9.9</v>
      </c>
      <c r="H84" s="24">
        <f>+G84/0.7</f>
        <v>14.142857142857144</v>
      </c>
      <c r="I84" s="24">
        <f>+H84*1.21</f>
        <v>17.112857142857145</v>
      </c>
      <c r="J84" s="24" t="s">
        <v>2359</v>
      </c>
      <c r="K84" s="24" t="s">
        <v>2365</v>
      </c>
      <c r="L84" t="s">
        <v>1392</v>
      </c>
      <c r="M84" t="s">
        <v>1415</v>
      </c>
      <c r="N84" t="s">
        <v>1426</v>
      </c>
      <c r="O84" t="s">
        <v>1426</v>
      </c>
      <c r="P84" t="s">
        <v>1429</v>
      </c>
      <c r="Q84">
        <v>46</v>
      </c>
      <c r="R84" s="2">
        <v>8457780267864</v>
      </c>
      <c r="S84" s="3" t="s">
        <v>764</v>
      </c>
      <c r="T84" s="1" t="s">
        <v>1348</v>
      </c>
      <c r="U84" s="1" t="s">
        <v>1349</v>
      </c>
    </row>
    <row r="85" spans="1:21" x14ac:dyDescent="0.25">
      <c r="A85" t="s">
        <v>78</v>
      </c>
      <c r="B85" t="s">
        <v>2221</v>
      </c>
      <c r="C85" t="s">
        <v>91</v>
      </c>
      <c r="D85" t="s">
        <v>1513</v>
      </c>
      <c r="E85" t="str">
        <f>+CONCATENATE(D85,". FABRICADO EN ",M85,". PUNTERA DE ",N85,". PLANTILLA ",O85,". SUELA DE ",P85)</f>
        <v>ZAPATO PIEL S3+SRC METALICO Negro 47. FABRICADO EN PIEL GRABADA. PUNTERA DE Acero. PLANTILLA Acero. SUELA DE PU/PU DOBLE DENSIDAD</v>
      </c>
      <c r="F85" t="str">
        <f>PROPER(E85)</f>
        <v>Zapato Piel S3+Src Metalico Negro 47. Fabricado En Piel Grabada. Puntera De Acero. Plantilla Acero. Suela De Pu/Pu Doble Densidad</v>
      </c>
      <c r="G85" s="24">
        <f>VLOOKUP(B85,Tabla1[],2,0)</f>
        <v>9.9</v>
      </c>
      <c r="H85" s="24">
        <f>+G85/0.7</f>
        <v>14.142857142857144</v>
      </c>
      <c r="I85" s="24">
        <f>+H85*1.21</f>
        <v>17.112857142857145</v>
      </c>
      <c r="J85" s="24" t="s">
        <v>2359</v>
      </c>
      <c r="K85" s="24" t="s">
        <v>2365</v>
      </c>
      <c r="L85" t="s">
        <v>1392</v>
      </c>
      <c r="M85" t="s">
        <v>1415</v>
      </c>
      <c r="N85" t="s">
        <v>1426</v>
      </c>
      <c r="O85" t="s">
        <v>1426</v>
      </c>
      <c r="P85" t="s">
        <v>1429</v>
      </c>
      <c r="Q85">
        <v>47</v>
      </c>
      <c r="R85" s="2">
        <v>8457780267871</v>
      </c>
      <c r="S85" s="3" t="s">
        <v>765</v>
      </c>
      <c r="T85" s="1" t="s">
        <v>1348</v>
      </c>
      <c r="U85" s="1" t="s">
        <v>1349</v>
      </c>
    </row>
    <row r="86" spans="1:21" x14ac:dyDescent="0.25">
      <c r="A86" t="s">
        <v>78</v>
      </c>
      <c r="B86" t="s">
        <v>2221</v>
      </c>
      <c r="C86" t="s">
        <v>92</v>
      </c>
      <c r="D86" t="s">
        <v>1514</v>
      </c>
      <c r="E86" t="str">
        <f>+CONCATENATE(D86,". FABRICADO EN ",M86,". PUNTERA DE ",N86,". PLANTILLA ",O86,". SUELA DE ",P86)</f>
        <v>ZAPATO PIEL S3+SRC METALICO Negro 48. FABRICADO EN PIEL GRABADA. PUNTERA DE Acero. PLANTILLA Acero. SUELA DE PU/PU DOBLE DENSIDAD</v>
      </c>
      <c r="F86" t="str">
        <f>PROPER(E86)</f>
        <v>Zapato Piel S3+Src Metalico Negro 48. Fabricado En Piel Grabada. Puntera De Acero. Plantilla Acero. Suela De Pu/Pu Doble Densidad</v>
      </c>
      <c r="G86" s="24">
        <f>VLOOKUP(B86,Tabla1[],2,0)</f>
        <v>9.9</v>
      </c>
      <c r="H86" s="24">
        <f>+G86/0.7</f>
        <v>14.142857142857144</v>
      </c>
      <c r="I86" s="24">
        <f>+H86*1.21</f>
        <v>17.112857142857145</v>
      </c>
      <c r="J86" s="24" t="s">
        <v>2359</v>
      </c>
      <c r="K86" s="24" t="s">
        <v>2365</v>
      </c>
      <c r="L86" t="s">
        <v>1392</v>
      </c>
      <c r="M86" t="s">
        <v>1415</v>
      </c>
      <c r="N86" t="s">
        <v>1426</v>
      </c>
      <c r="O86" t="s">
        <v>1426</v>
      </c>
      <c r="P86" t="s">
        <v>1429</v>
      </c>
      <c r="Q86">
        <v>48</v>
      </c>
      <c r="R86" s="2">
        <v>8457780303913</v>
      </c>
      <c r="S86" s="3" t="s">
        <v>766</v>
      </c>
      <c r="T86" s="1" t="s">
        <v>1348</v>
      </c>
      <c r="U86" s="1" t="s">
        <v>1349</v>
      </c>
    </row>
    <row r="87" spans="1:21" x14ac:dyDescent="0.25">
      <c r="A87" t="s">
        <v>93</v>
      </c>
      <c r="B87" t="s">
        <v>2222</v>
      </c>
      <c r="C87" t="s">
        <v>94</v>
      </c>
      <c r="D87" t="s">
        <v>1515</v>
      </c>
      <c r="E87" t="str">
        <f>+CONCATENATE(D87,". FABRICADO EN ",M87,". PUNTERA DE ",N87,". PLANTILLA ",O87,". SUELA DE ",P87)</f>
        <v>BOTA S3S+CI+HI+ FO+HRO+SC+SR+ESD Negro-Rojo 35. FABRICADO EN MICROFIBRA + MATERIAL ANTIABRASION . PUNTERA DE Fibra de vidrio. PLANTILLA Antiperforación textil. SUELA DE EVA/CAUCHO-NITRILO</v>
      </c>
      <c r="F87" t="str">
        <f>PROPER(E87)</f>
        <v>Bota S3S+Ci+Hi+ Fo+Hro+Sc+Sr+Esd Negro-Rojo 35. Fabricado En Microfibra + Material Antiabrasion . Puntera De Fibra De Vidrio. Plantilla Antiperforación Textil. Suela De Eva/Caucho-Nitrilo</v>
      </c>
      <c r="G87" s="24">
        <f>VLOOKUP(B87,Tabla1[],2,0)</f>
        <v>36.9</v>
      </c>
      <c r="H87" s="24">
        <f>+G87/0.72</f>
        <v>51.25</v>
      </c>
      <c r="I87" s="24">
        <f>+H87*1.21</f>
        <v>62.012499999999996</v>
      </c>
      <c r="J87" s="24" t="s">
        <v>2326</v>
      </c>
      <c r="K87" s="24" t="s">
        <v>2365</v>
      </c>
      <c r="L87" t="s">
        <v>1401</v>
      </c>
      <c r="M87" t="s">
        <v>1419</v>
      </c>
      <c r="N87" t="s">
        <v>1425</v>
      </c>
      <c r="O87" t="s">
        <v>1428</v>
      </c>
      <c r="P87" t="s">
        <v>1431</v>
      </c>
      <c r="Q87">
        <v>35</v>
      </c>
      <c r="R87" s="2">
        <v>8457780336706</v>
      </c>
      <c r="S87" s="3" t="s">
        <v>767</v>
      </c>
      <c r="T87" t="s">
        <v>1380</v>
      </c>
    </row>
    <row r="88" spans="1:21" x14ac:dyDescent="0.25">
      <c r="A88" t="s">
        <v>93</v>
      </c>
      <c r="B88" t="s">
        <v>2222</v>
      </c>
      <c r="C88" t="s">
        <v>95</v>
      </c>
      <c r="D88" t="s">
        <v>1516</v>
      </c>
      <c r="E88" t="str">
        <f>+CONCATENATE(D88,". FABRICADO EN ",M88,". PUNTERA DE ",N88,". PLANTILLA ",O88,". SUELA DE ",P88)</f>
        <v>BOTA S3S+CI+HI+ FO+HRO+SC+SR+ESD Negro-Rojo 36. FABRICADO EN MICROFIBRA + MATERIAL ANTIABRASION . PUNTERA DE Fibra de vidrio. PLANTILLA Antiperforación textil. SUELA DE EVA/CAUCHO-NITRILO</v>
      </c>
      <c r="F88" t="str">
        <f>PROPER(E88)</f>
        <v>Bota S3S+Ci+Hi+ Fo+Hro+Sc+Sr+Esd Negro-Rojo 36. Fabricado En Microfibra + Material Antiabrasion . Puntera De Fibra De Vidrio. Plantilla Antiperforación Textil. Suela De Eva/Caucho-Nitrilo</v>
      </c>
      <c r="G88" s="24">
        <f>VLOOKUP(B88,Tabla1[],2,0)</f>
        <v>36.9</v>
      </c>
      <c r="H88" s="24">
        <f>+G88/0.72</f>
        <v>51.25</v>
      </c>
      <c r="I88" s="24">
        <f>+H88*1.21</f>
        <v>62.012499999999996</v>
      </c>
      <c r="J88" s="24" t="s">
        <v>2326</v>
      </c>
      <c r="K88" s="24" t="s">
        <v>2365</v>
      </c>
      <c r="L88" t="s">
        <v>1401</v>
      </c>
      <c r="M88" t="s">
        <v>1419</v>
      </c>
      <c r="N88" t="s">
        <v>1425</v>
      </c>
      <c r="O88" t="s">
        <v>1428</v>
      </c>
      <c r="P88" t="s">
        <v>1431</v>
      </c>
      <c r="Q88">
        <v>36</v>
      </c>
      <c r="R88" s="2">
        <v>8457780336713</v>
      </c>
      <c r="S88" s="3" t="s">
        <v>768</v>
      </c>
      <c r="T88" t="s">
        <v>1380</v>
      </c>
    </row>
    <row r="89" spans="1:21" x14ac:dyDescent="0.25">
      <c r="A89" t="s">
        <v>93</v>
      </c>
      <c r="B89" t="s">
        <v>2222</v>
      </c>
      <c r="C89" t="s">
        <v>96</v>
      </c>
      <c r="D89" t="s">
        <v>1517</v>
      </c>
      <c r="E89" t="str">
        <f>+CONCATENATE(D89,". FABRICADO EN ",M89,". PUNTERA DE ",N89,". PLANTILLA ",O89,". SUELA DE ",P89)</f>
        <v>BOTA S3S+CI+HI+ FO+HRO+SC+SR+ESD Negro-Rojo 37. FABRICADO EN MICROFIBRA + MATERIAL ANTIABRASION . PUNTERA DE Fibra de vidrio. PLANTILLA Antiperforación textil. SUELA DE EVA/CAUCHO-NITRILO</v>
      </c>
      <c r="F89" t="str">
        <f>PROPER(E89)</f>
        <v>Bota S3S+Ci+Hi+ Fo+Hro+Sc+Sr+Esd Negro-Rojo 37. Fabricado En Microfibra + Material Antiabrasion . Puntera De Fibra De Vidrio. Plantilla Antiperforación Textil. Suela De Eva/Caucho-Nitrilo</v>
      </c>
      <c r="G89" s="24">
        <f>VLOOKUP(B89,Tabla1[],2,0)</f>
        <v>36.9</v>
      </c>
      <c r="H89" s="24">
        <f>+G89/0.72</f>
        <v>51.25</v>
      </c>
      <c r="I89" s="24">
        <f>+H89*1.21</f>
        <v>62.012499999999996</v>
      </c>
      <c r="J89" s="24" t="s">
        <v>2326</v>
      </c>
      <c r="K89" s="24" t="s">
        <v>2365</v>
      </c>
      <c r="L89" t="s">
        <v>1401</v>
      </c>
      <c r="M89" t="s">
        <v>1419</v>
      </c>
      <c r="N89" t="s">
        <v>1425</v>
      </c>
      <c r="O89" t="s">
        <v>1428</v>
      </c>
      <c r="P89" t="s">
        <v>1431</v>
      </c>
      <c r="Q89">
        <v>37</v>
      </c>
      <c r="R89" s="2">
        <v>8457780336720</v>
      </c>
      <c r="S89" s="3" t="s">
        <v>769</v>
      </c>
      <c r="T89" t="s">
        <v>1380</v>
      </c>
    </row>
    <row r="90" spans="1:21" x14ac:dyDescent="0.25">
      <c r="A90" t="s">
        <v>93</v>
      </c>
      <c r="B90" t="s">
        <v>2222</v>
      </c>
      <c r="C90" t="s">
        <v>97</v>
      </c>
      <c r="D90" t="s">
        <v>1518</v>
      </c>
      <c r="E90" t="str">
        <f>+CONCATENATE(D90,". FABRICADO EN ",M90,". PUNTERA DE ",N90,". PLANTILLA ",O90,". SUELA DE ",P90)</f>
        <v>BOTA S3S+CI+HI+ FO+HRO+SC+SR+ESD Negro-Rojo 38. FABRICADO EN MICROFIBRA + MATERIAL ANTIABRASION . PUNTERA DE Fibra de vidrio. PLANTILLA Antiperforación textil. SUELA DE EVA/CAUCHO-NITRILO</v>
      </c>
      <c r="F90" t="str">
        <f>PROPER(E90)</f>
        <v>Bota S3S+Ci+Hi+ Fo+Hro+Sc+Sr+Esd Negro-Rojo 38. Fabricado En Microfibra + Material Antiabrasion . Puntera De Fibra De Vidrio. Plantilla Antiperforación Textil. Suela De Eva/Caucho-Nitrilo</v>
      </c>
      <c r="G90" s="24">
        <f>VLOOKUP(B90,Tabla1[],2,0)</f>
        <v>36.9</v>
      </c>
      <c r="H90" s="24">
        <f>+G90/0.72</f>
        <v>51.25</v>
      </c>
      <c r="I90" s="24">
        <f>+H90*1.21</f>
        <v>62.012499999999996</v>
      </c>
      <c r="J90" s="24" t="s">
        <v>2326</v>
      </c>
      <c r="K90" s="24" t="s">
        <v>2365</v>
      </c>
      <c r="L90" t="s">
        <v>1401</v>
      </c>
      <c r="M90" t="s">
        <v>1419</v>
      </c>
      <c r="N90" t="s">
        <v>1425</v>
      </c>
      <c r="O90" t="s">
        <v>1428</v>
      </c>
      <c r="P90" t="s">
        <v>1431</v>
      </c>
      <c r="Q90">
        <v>38</v>
      </c>
      <c r="R90" s="2">
        <v>8457780336737</v>
      </c>
      <c r="S90" s="3" t="s">
        <v>770</v>
      </c>
      <c r="T90" t="s">
        <v>1380</v>
      </c>
    </row>
    <row r="91" spans="1:21" x14ac:dyDescent="0.25">
      <c r="A91" t="s">
        <v>93</v>
      </c>
      <c r="B91" t="s">
        <v>2222</v>
      </c>
      <c r="C91" t="s">
        <v>98</v>
      </c>
      <c r="D91" t="s">
        <v>1519</v>
      </c>
      <c r="E91" t="str">
        <f>+CONCATENATE(D91,". FABRICADO EN ",M91,". PUNTERA DE ",N91,". PLANTILLA ",O91,". SUELA DE ",P91)</f>
        <v>BOTA S3S+CI+HI+ FO+HRO+SC+SR+ESD Negro-Rojo 39. FABRICADO EN MICROFIBRA + MATERIAL ANTIABRASION . PUNTERA DE Fibra de vidrio. PLANTILLA Antiperforación textil. SUELA DE EVA/CAUCHO-NITRILO</v>
      </c>
      <c r="F91" t="str">
        <f>PROPER(E91)</f>
        <v>Bota S3S+Ci+Hi+ Fo+Hro+Sc+Sr+Esd Negro-Rojo 39. Fabricado En Microfibra + Material Antiabrasion . Puntera De Fibra De Vidrio. Plantilla Antiperforación Textil. Suela De Eva/Caucho-Nitrilo</v>
      </c>
      <c r="G91" s="24">
        <f>VLOOKUP(B91,Tabla1[],2,0)</f>
        <v>36.9</v>
      </c>
      <c r="H91" s="24">
        <f>+G91/0.72</f>
        <v>51.25</v>
      </c>
      <c r="I91" s="24">
        <f>+H91*1.21</f>
        <v>62.012499999999996</v>
      </c>
      <c r="J91" s="24" t="s">
        <v>2326</v>
      </c>
      <c r="K91" s="24" t="s">
        <v>2365</v>
      </c>
      <c r="L91" t="s">
        <v>1401</v>
      </c>
      <c r="M91" t="s">
        <v>1419</v>
      </c>
      <c r="N91" t="s">
        <v>1425</v>
      </c>
      <c r="O91" t="s">
        <v>1428</v>
      </c>
      <c r="P91" t="s">
        <v>1431</v>
      </c>
      <c r="Q91">
        <v>39</v>
      </c>
      <c r="R91" s="2">
        <v>8457780336744</v>
      </c>
      <c r="S91" s="3" t="s">
        <v>771</v>
      </c>
      <c r="T91" t="s">
        <v>1380</v>
      </c>
    </row>
    <row r="92" spans="1:21" x14ac:dyDescent="0.25">
      <c r="A92" t="s">
        <v>93</v>
      </c>
      <c r="B92" t="s">
        <v>2222</v>
      </c>
      <c r="C92" t="s">
        <v>99</v>
      </c>
      <c r="D92" t="s">
        <v>1520</v>
      </c>
      <c r="E92" t="str">
        <f>+CONCATENATE(D92,". FABRICADO EN ",M92,". PUNTERA DE ",N92,". PLANTILLA ",O92,". SUELA DE ",P92)</f>
        <v>BOTA S3S+CI+HI+ FO+HRO+SC+SR+ESD Negro-Rojo 40. FABRICADO EN MICROFIBRA + MATERIAL ANTIABRASION . PUNTERA DE Fibra de vidrio. PLANTILLA Antiperforación textil. SUELA DE EVA/CAUCHO-NITRILO</v>
      </c>
      <c r="F92" t="str">
        <f>PROPER(E92)</f>
        <v>Bota S3S+Ci+Hi+ Fo+Hro+Sc+Sr+Esd Negro-Rojo 40. Fabricado En Microfibra + Material Antiabrasion . Puntera De Fibra De Vidrio. Plantilla Antiperforación Textil. Suela De Eva/Caucho-Nitrilo</v>
      </c>
      <c r="G92" s="24">
        <f>VLOOKUP(B92,Tabla1[],2,0)</f>
        <v>36.9</v>
      </c>
      <c r="H92" s="24">
        <f>+G92/0.72</f>
        <v>51.25</v>
      </c>
      <c r="I92" s="24">
        <f>+H92*1.21</f>
        <v>62.012499999999996</v>
      </c>
      <c r="J92" s="24" t="s">
        <v>2326</v>
      </c>
      <c r="K92" s="24" t="s">
        <v>2365</v>
      </c>
      <c r="L92" t="s">
        <v>1401</v>
      </c>
      <c r="M92" t="s">
        <v>1419</v>
      </c>
      <c r="N92" t="s">
        <v>1425</v>
      </c>
      <c r="O92" t="s">
        <v>1428</v>
      </c>
      <c r="P92" t="s">
        <v>1431</v>
      </c>
      <c r="Q92">
        <v>40</v>
      </c>
      <c r="R92" s="2">
        <v>8457780336751</v>
      </c>
      <c r="S92" s="3" t="s">
        <v>772</v>
      </c>
      <c r="T92" t="s">
        <v>1380</v>
      </c>
    </row>
    <row r="93" spans="1:21" x14ac:dyDescent="0.25">
      <c r="A93" t="s">
        <v>93</v>
      </c>
      <c r="B93" t="s">
        <v>2222</v>
      </c>
      <c r="C93" t="s">
        <v>100</v>
      </c>
      <c r="D93" t="s">
        <v>1521</v>
      </c>
      <c r="E93" t="str">
        <f>+CONCATENATE(D93,". FABRICADO EN ",M93,". PUNTERA DE ",N93,". PLANTILLA ",O93,". SUELA DE ",P93)</f>
        <v>BOTA S3S+CI+HI+ FO+HRO+SC+SR+ESD Negro-Rojo 41. FABRICADO EN MICROFIBRA + MATERIAL ANTIABRASION . PUNTERA DE Fibra de vidrio. PLANTILLA Antiperforación textil. SUELA DE EVA/CAUCHO-NITRILO</v>
      </c>
      <c r="F93" t="str">
        <f>PROPER(E93)</f>
        <v>Bota S3S+Ci+Hi+ Fo+Hro+Sc+Sr+Esd Negro-Rojo 41. Fabricado En Microfibra + Material Antiabrasion . Puntera De Fibra De Vidrio. Plantilla Antiperforación Textil. Suela De Eva/Caucho-Nitrilo</v>
      </c>
      <c r="G93" s="24">
        <f>VLOOKUP(B93,Tabla1[],2,0)</f>
        <v>36.9</v>
      </c>
      <c r="H93" s="24">
        <f>+G93/0.72</f>
        <v>51.25</v>
      </c>
      <c r="I93" s="24">
        <f>+H93*1.21</f>
        <v>62.012499999999996</v>
      </c>
      <c r="J93" s="24" t="s">
        <v>2326</v>
      </c>
      <c r="K93" s="24" t="s">
        <v>2365</v>
      </c>
      <c r="L93" t="s">
        <v>1401</v>
      </c>
      <c r="M93" t="s">
        <v>1419</v>
      </c>
      <c r="N93" t="s">
        <v>1425</v>
      </c>
      <c r="O93" t="s">
        <v>1428</v>
      </c>
      <c r="P93" t="s">
        <v>1431</v>
      </c>
      <c r="Q93">
        <v>41</v>
      </c>
      <c r="R93" s="2">
        <v>8457780336768</v>
      </c>
      <c r="S93" s="3" t="s">
        <v>773</v>
      </c>
      <c r="T93" t="s">
        <v>1380</v>
      </c>
    </row>
    <row r="94" spans="1:21" x14ac:dyDescent="0.25">
      <c r="A94" t="s">
        <v>93</v>
      </c>
      <c r="B94" t="s">
        <v>2222</v>
      </c>
      <c r="C94" t="s">
        <v>101</v>
      </c>
      <c r="D94" t="s">
        <v>1522</v>
      </c>
      <c r="E94" t="str">
        <f>+CONCATENATE(D94,". FABRICADO EN ",M94,". PUNTERA DE ",N94,". PLANTILLA ",O94,". SUELA DE ",P94)</f>
        <v>BOTA S3S+CI+HI+ FO+HRO+SC+SR+ESD Negro-Rojo 42. FABRICADO EN MICROFIBRA + MATERIAL ANTIABRASION . PUNTERA DE Fibra de vidrio. PLANTILLA Antiperforación textil. SUELA DE EVA/CAUCHO-NITRILO</v>
      </c>
      <c r="F94" t="str">
        <f>PROPER(E94)</f>
        <v>Bota S3S+Ci+Hi+ Fo+Hro+Sc+Sr+Esd Negro-Rojo 42. Fabricado En Microfibra + Material Antiabrasion . Puntera De Fibra De Vidrio. Plantilla Antiperforación Textil. Suela De Eva/Caucho-Nitrilo</v>
      </c>
      <c r="G94" s="24">
        <f>VLOOKUP(B94,Tabla1[],2,0)</f>
        <v>36.9</v>
      </c>
      <c r="H94" s="24">
        <f>+G94/0.72</f>
        <v>51.25</v>
      </c>
      <c r="I94" s="24">
        <f>+H94*1.21</f>
        <v>62.012499999999996</v>
      </c>
      <c r="J94" s="24" t="s">
        <v>2326</v>
      </c>
      <c r="K94" s="24" t="s">
        <v>2365</v>
      </c>
      <c r="L94" t="s">
        <v>1401</v>
      </c>
      <c r="M94" t="s">
        <v>1419</v>
      </c>
      <c r="N94" t="s">
        <v>1425</v>
      </c>
      <c r="O94" t="s">
        <v>1428</v>
      </c>
      <c r="P94" t="s">
        <v>1431</v>
      </c>
      <c r="Q94">
        <v>42</v>
      </c>
      <c r="R94" s="2">
        <v>8457780336775</v>
      </c>
      <c r="S94" s="3" t="s">
        <v>774</v>
      </c>
      <c r="T94" t="s">
        <v>1380</v>
      </c>
    </row>
    <row r="95" spans="1:21" x14ac:dyDescent="0.25">
      <c r="A95" t="s">
        <v>93</v>
      </c>
      <c r="B95" t="s">
        <v>2222</v>
      </c>
      <c r="C95" t="s">
        <v>102</v>
      </c>
      <c r="D95" t="s">
        <v>1523</v>
      </c>
      <c r="E95" t="str">
        <f>+CONCATENATE(D95,". FABRICADO EN ",M95,". PUNTERA DE ",N95,". PLANTILLA ",O95,". SUELA DE ",P95)</f>
        <v>BOTA S3S+CI+HI+ FO+HRO+SC+SR+ESD Negro-Rojo 43. FABRICADO EN MICROFIBRA + MATERIAL ANTIABRASION . PUNTERA DE Fibra de vidrio. PLANTILLA Antiperforación textil. SUELA DE EVA/CAUCHO-NITRILO</v>
      </c>
      <c r="F95" t="str">
        <f>PROPER(E95)</f>
        <v>Bota S3S+Ci+Hi+ Fo+Hro+Sc+Sr+Esd Negro-Rojo 43. Fabricado En Microfibra + Material Antiabrasion . Puntera De Fibra De Vidrio. Plantilla Antiperforación Textil. Suela De Eva/Caucho-Nitrilo</v>
      </c>
      <c r="G95" s="24">
        <f>VLOOKUP(B95,Tabla1[],2,0)</f>
        <v>36.9</v>
      </c>
      <c r="H95" s="24">
        <f>+G95/0.72</f>
        <v>51.25</v>
      </c>
      <c r="I95" s="24">
        <f>+H95*1.21</f>
        <v>62.012499999999996</v>
      </c>
      <c r="J95" s="24" t="s">
        <v>2326</v>
      </c>
      <c r="K95" s="24" t="s">
        <v>2365</v>
      </c>
      <c r="L95" t="s">
        <v>1401</v>
      </c>
      <c r="M95" t="s">
        <v>1419</v>
      </c>
      <c r="N95" t="s">
        <v>1425</v>
      </c>
      <c r="O95" t="s">
        <v>1428</v>
      </c>
      <c r="P95" t="s">
        <v>1431</v>
      </c>
      <c r="Q95">
        <v>43</v>
      </c>
      <c r="R95" s="2">
        <v>8457780336782</v>
      </c>
      <c r="S95" s="3" t="s">
        <v>775</v>
      </c>
      <c r="T95" t="s">
        <v>1380</v>
      </c>
    </row>
    <row r="96" spans="1:21" x14ac:dyDescent="0.25">
      <c r="A96" t="s">
        <v>93</v>
      </c>
      <c r="B96" t="s">
        <v>2222</v>
      </c>
      <c r="C96" t="s">
        <v>103</v>
      </c>
      <c r="D96" t="s">
        <v>1524</v>
      </c>
      <c r="E96" t="str">
        <f>+CONCATENATE(D96,". FABRICADO EN ",M96,". PUNTERA DE ",N96,". PLANTILLA ",O96,". SUELA DE ",P96)</f>
        <v>BOTA S3S+CI+HI+ FO+HRO+SC+SR+ESD Negro-Rojo 44. FABRICADO EN MICROFIBRA + MATERIAL ANTIABRASION . PUNTERA DE Fibra de vidrio. PLANTILLA Antiperforación textil. SUELA DE EVA/CAUCHO-NITRILO</v>
      </c>
      <c r="F96" t="str">
        <f>PROPER(E96)</f>
        <v>Bota S3S+Ci+Hi+ Fo+Hro+Sc+Sr+Esd Negro-Rojo 44. Fabricado En Microfibra + Material Antiabrasion . Puntera De Fibra De Vidrio. Plantilla Antiperforación Textil. Suela De Eva/Caucho-Nitrilo</v>
      </c>
      <c r="G96" s="24">
        <f>VLOOKUP(B96,Tabla1[],2,0)</f>
        <v>36.9</v>
      </c>
      <c r="H96" s="24">
        <f>+G96/0.72</f>
        <v>51.25</v>
      </c>
      <c r="I96" s="24">
        <f>+H96*1.21</f>
        <v>62.012499999999996</v>
      </c>
      <c r="J96" s="24" t="s">
        <v>2326</v>
      </c>
      <c r="K96" s="24" t="s">
        <v>2365</v>
      </c>
      <c r="L96" t="s">
        <v>1401</v>
      </c>
      <c r="M96" t="s">
        <v>1419</v>
      </c>
      <c r="N96" t="s">
        <v>1425</v>
      </c>
      <c r="O96" t="s">
        <v>1428</v>
      </c>
      <c r="P96" t="s">
        <v>1431</v>
      </c>
      <c r="Q96">
        <v>44</v>
      </c>
      <c r="R96" s="2">
        <v>8457780336799</v>
      </c>
      <c r="S96" s="3" t="s">
        <v>776</v>
      </c>
      <c r="T96" t="s">
        <v>1380</v>
      </c>
    </row>
    <row r="97" spans="1:21" x14ac:dyDescent="0.25">
      <c r="A97" t="s">
        <v>93</v>
      </c>
      <c r="B97" t="s">
        <v>2222</v>
      </c>
      <c r="C97" t="s">
        <v>104</v>
      </c>
      <c r="D97" t="s">
        <v>1525</v>
      </c>
      <c r="E97" t="str">
        <f>+CONCATENATE(D97,". FABRICADO EN ",M97,". PUNTERA DE ",N97,". PLANTILLA ",O97,". SUELA DE ",P97)</f>
        <v>BOTA S3S+CI+HI+ FO+HRO+SC+SR+ESD Negro-Rojo 45. FABRICADO EN MICROFIBRA + MATERIAL ANTIABRASION . PUNTERA DE Fibra de vidrio. PLANTILLA Antiperforación textil. SUELA DE EVA/CAUCHO-NITRILO</v>
      </c>
      <c r="F97" t="str">
        <f>PROPER(E97)</f>
        <v>Bota S3S+Ci+Hi+ Fo+Hro+Sc+Sr+Esd Negro-Rojo 45. Fabricado En Microfibra + Material Antiabrasion . Puntera De Fibra De Vidrio. Plantilla Antiperforación Textil. Suela De Eva/Caucho-Nitrilo</v>
      </c>
      <c r="G97" s="24">
        <f>VLOOKUP(B97,Tabla1[],2,0)</f>
        <v>36.9</v>
      </c>
      <c r="H97" s="24">
        <f>+G97/0.72</f>
        <v>51.25</v>
      </c>
      <c r="I97" s="24">
        <f>+H97*1.21</f>
        <v>62.012499999999996</v>
      </c>
      <c r="J97" s="24" t="s">
        <v>2326</v>
      </c>
      <c r="K97" s="24" t="s">
        <v>2365</v>
      </c>
      <c r="L97" t="s">
        <v>1401</v>
      </c>
      <c r="M97" t="s">
        <v>1419</v>
      </c>
      <c r="N97" t="s">
        <v>1425</v>
      </c>
      <c r="O97" t="s">
        <v>1428</v>
      </c>
      <c r="P97" t="s">
        <v>1431</v>
      </c>
      <c r="Q97">
        <v>45</v>
      </c>
      <c r="R97" s="2">
        <v>8457780336805</v>
      </c>
      <c r="S97" s="3" t="s">
        <v>777</v>
      </c>
      <c r="T97" t="s">
        <v>1380</v>
      </c>
    </row>
    <row r="98" spans="1:21" x14ac:dyDescent="0.25">
      <c r="A98" t="s">
        <v>93</v>
      </c>
      <c r="B98" t="s">
        <v>2222</v>
      </c>
      <c r="C98" t="s">
        <v>105</v>
      </c>
      <c r="D98" t="s">
        <v>1526</v>
      </c>
      <c r="E98" t="str">
        <f>+CONCATENATE(D98,". FABRICADO EN ",M98,". PUNTERA DE ",N98,". PLANTILLA ",O98,". SUELA DE ",P98)</f>
        <v>BOTA S3S+CI+HI+ FO+HRO+SC+SR+ESD Negro-Rojo 46. FABRICADO EN MICROFIBRA + MATERIAL ANTIABRASION . PUNTERA DE Fibra de vidrio. PLANTILLA Antiperforación textil. SUELA DE EVA/CAUCHO-NITRILO</v>
      </c>
      <c r="F98" t="str">
        <f>PROPER(E98)</f>
        <v>Bota S3S+Ci+Hi+ Fo+Hro+Sc+Sr+Esd Negro-Rojo 46. Fabricado En Microfibra + Material Antiabrasion . Puntera De Fibra De Vidrio. Plantilla Antiperforación Textil. Suela De Eva/Caucho-Nitrilo</v>
      </c>
      <c r="G98" s="24">
        <f>VLOOKUP(B98,Tabla1[],2,0)</f>
        <v>36.9</v>
      </c>
      <c r="H98" s="24">
        <f>+G98/0.72</f>
        <v>51.25</v>
      </c>
      <c r="I98" s="24">
        <f>+H98*1.21</f>
        <v>62.012499999999996</v>
      </c>
      <c r="J98" s="24" t="s">
        <v>2326</v>
      </c>
      <c r="K98" s="24" t="s">
        <v>2365</v>
      </c>
      <c r="L98" t="s">
        <v>1401</v>
      </c>
      <c r="M98" t="s">
        <v>1419</v>
      </c>
      <c r="N98" t="s">
        <v>1425</v>
      </c>
      <c r="O98" t="s">
        <v>1428</v>
      </c>
      <c r="P98" t="s">
        <v>1431</v>
      </c>
      <c r="Q98">
        <v>46</v>
      </c>
      <c r="R98" s="2">
        <v>8457780336812</v>
      </c>
      <c r="S98" s="3" t="s">
        <v>778</v>
      </c>
      <c r="T98" t="s">
        <v>1380</v>
      </c>
    </row>
    <row r="99" spans="1:21" x14ac:dyDescent="0.25">
      <c r="A99" t="s">
        <v>93</v>
      </c>
      <c r="B99" t="s">
        <v>2222</v>
      </c>
      <c r="C99" t="s">
        <v>106</v>
      </c>
      <c r="D99" t="s">
        <v>1527</v>
      </c>
      <c r="E99" t="str">
        <f>+CONCATENATE(D99,". FABRICADO EN ",M99,". PUNTERA DE ",N99,". PLANTILLA ",O99,". SUELA DE ",P99)</f>
        <v>BOTA S3S+CI+HI+ FO+HRO+SC+SR+ESD Negro-Rojo 47. FABRICADO EN MICROFIBRA + MATERIAL ANTIABRASION . PUNTERA DE Fibra de vidrio. PLANTILLA Antiperforación textil. SUELA DE EVA/CAUCHO-NITRILO</v>
      </c>
      <c r="F99" t="str">
        <f>PROPER(E99)</f>
        <v>Bota S3S+Ci+Hi+ Fo+Hro+Sc+Sr+Esd Negro-Rojo 47. Fabricado En Microfibra + Material Antiabrasion . Puntera De Fibra De Vidrio. Plantilla Antiperforación Textil. Suela De Eva/Caucho-Nitrilo</v>
      </c>
      <c r="G99" s="24">
        <f>VLOOKUP(B99,Tabla1[],2,0)</f>
        <v>36.9</v>
      </c>
      <c r="H99" s="24">
        <f>+G99/0.72</f>
        <v>51.25</v>
      </c>
      <c r="I99" s="24">
        <f>+H99*1.21</f>
        <v>62.012499999999996</v>
      </c>
      <c r="J99" s="24" t="s">
        <v>2326</v>
      </c>
      <c r="K99" s="24" t="s">
        <v>2365</v>
      </c>
      <c r="L99" t="s">
        <v>1401</v>
      </c>
      <c r="M99" t="s">
        <v>1419</v>
      </c>
      <c r="N99" t="s">
        <v>1425</v>
      </c>
      <c r="O99" t="s">
        <v>1428</v>
      </c>
      <c r="P99" t="s">
        <v>1431</v>
      </c>
      <c r="Q99">
        <v>47</v>
      </c>
      <c r="R99" s="2">
        <v>8457780336829</v>
      </c>
      <c r="S99" s="3" t="s">
        <v>779</v>
      </c>
      <c r="T99" t="s">
        <v>1380</v>
      </c>
    </row>
    <row r="100" spans="1:21" x14ac:dyDescent="0.25">
      <c r="A100" t="s">
        <v>93</v>
      </c>
      <c r="B100" t="s">
        <v>2222</v>
      </c>
      <c r="C100" t="s">
        <v>107</v>
      </c>
      <c r="D100" t="s">
        <v>1528</v>
      </c>
      <c r="E100" t="str">
        <f>+CONCATENATE(D100,". FABRICADO EN ",M100,". PUNTERA DE ",N100,". PLANTILLA ",O100,". SUELA DE ",P100)</f>
        <v>BOTA S3S+CI+HI+ FO+HRO+SC+SR+ESD Negro-Rojo 48. FABRICADO EN MICROFIBRA + MATERIAL ANTIABRASION . PUNTERA DE Fibra de vidrio. PLANTILLA Antiperforación textil. SUELA DE EVA/CAUCHO-NITRILO</v>
      </c>
      <c r="F100" t="str">
        <f>PROPER(E100)</f>
        <v>Bota S3S+Ci+Hi+ Fo+Hro+Sc+Sr+Esd Negro-Rojo 48. Fabricado En Microfibra + Material Antiabrasion . Puntera De Fibra De Vidrio. Plantilla Antiperforación Textil. Suela De Eva/Caucho-Nitrilo</v>
      </c>
      <c r="G100" s="24">
        <f>VLOOKUP(B100,Tabla1[],2,0)</f>
        <v>36.9</v>
      </c>
      <c r="H100" s="24">
        <f>+G100/0.72</f>
        <v>51.25</v>
      </c>
      <c r="I100" s="24">
        <f>+H100*1.21</f>
        <v>62.012499999999996</v>
      </c>
      <c r="J100" s="24" t="s">
        <v>2326</v>
      </c>
      <c r="K100" s="24" t="s">
        <v>2365</v>
      </c>
      <c r="L100" t="s">
        <v>1401</v>
      </c>
      <c r="M100" t="s">
        <v>1419</v>
      </c>
      <c r="N100" t="s">
        <v>1425</v>
      </c>
      <c r="O100" t="s">
        <v>1428</v>
      </c>
      <c r="P100" t="s">
        <v>1431</v>
      </c>
      <c r="Q100">
        <v>48</v>
      </c>
      <c r="R100" s="2">
        <v>8457780336836</v>
      </c>
      <c r="S100" s="3" t="s">
        <v>780</v>
      </c>
      <c r="T100" t="s">
        <v>1380</v>
      </c>
    </row>
    <row r="101" spans="1:21" x14ac:dyDescent="0.25">
      <c r="A101" t="s">
        <v>108</v>
      </c>
      <c r="B101" t="s">
        <v>2223</v>
      </c>
      <c r="C101" t="s">
        <v>109</v>
      </c>
      <c r="D101" t="s">
        <v>1529</v>
      </c>
      <c r="E101" t="str">
        <f>+CONCATENATE(D101,". FABRICADO EN ",M101,". PUNTERA DE ",N101,". PLANTILLA ",O101,". SUELA DE ",P101)</f>
        <v>ZAPATO SERRAJE S1+P+SRC Azul 35. FABRICADO EN PIEL SERRAJE. PUNTERA DE Fibra de vidrio. PLANTILLA Antiperforación textil. SUELA DE PU/PU DOBLE DENSIDAD</v>
      </c>
      <c r="F101" t="str">
        <f>PROPER(E101)</f>
        <v>Zapato Serraje S1+P+Src Azul 35. Fabricado En Piel Serraje. Puntera De Fibra De Vidrio. Plantilla Antiperforación Textil. Suela De Pu/Pu Doble Densidad</v>
      </c>
      <c r="G101" s="24">
        <f>VLOOKUP(B101,Tabla1[],2,0)</f>
        <v>14.9</v>
      </c>
      <c r="H101" s="24">
        <f>+G101/0.7</f>
        <v>21.285714285714288</v>
      </c>
      <c r="I101" s="24">
        <f>+H101*1.21</f>
        <v>25.755714285714287</v>
      </c>
      <c r="J101" s="24" t="s">
        <v>2359</v>
      </c>
      <c r="K101" s="24" t="s">
        <v>2371</v>
      </c>
      <c r="L101" t="s">
        <v>1402</v>
      </c>
      <c r="M101" t="s">
        <v>1417</v>
      </c>
      <c r="N101" t="s">
        <v>1425</v>
      </c>
      <c r="O101" t="s">
        <v>1428</v>
      </c>
      <c r="P101" t="s">
        <v>1429</v>
      </c>
      <c r="Q101">
        <v>35</v>
      </c>
      <c r="R101" s="2">
        <v>8457780303982</v>
      </c>
      <c r="S101" s="3" t="s">
        <v>781</v>
      </c>
      <c r="T101" t="s">
        <v>1361</v>
      </c>
      <c r="U101" t="s">
        <v>1362</v>
      </c>
    </row>
    <row r="102" spans="1:21" x14ac:dyDescent="0.25">
      <c r="A102" t="s">
        <v>108</v>
      </c>
      <c r="B102" t="s">
        <v>2223</v>
      </c>
      <c r="C102" t="s">
        <v>110</v>
      </c>
      <c r="D102" t="s">
        <v>1530</v>
      </c>
      <c r="E102" t="str">
        <f>+CONCATENATE(D102,". FABRICADO EN ",M102,". PUNTERA DE ",N102,". PLANTILLA ",O102,". SUELA DE ",P102)</f>
        <v>ZAPATO SERRAJE S1+P+SRC Azul 36. FABRICADO EN PIEL SERRAJE. PUNTERA DE Fibra de vidrio. PLANTILLA Antiperforación textil. SUELA DE PU/PU DOBLE DENSIDAD</v>
      </c>
      <c r="F102" t="str">
        <f>PROPER(E102)</f>
        <v>Zapato Serraje S1+P+Src Azul 36. Fabricado En Piel Serraje. Puntera De Fibra De Vidrio. Plantilla Antiperforación Textil. Suela De Pu/Pu Doble Densidad</v>
      </c>
      <c r="G102" s="24">
        <f>VLOOKUP(B102,Tabla1[],2,0)</f>
        <v>14.9</v>
      </c>
      <c r="H102" s="24">
        <f>+G102/0.7</f>
        <v>21.285714285714288</v>
      </c>
      <c r="I102" s="24">
        <f>+H102*1.21</f>
        <v>25.755714285714287</v>
      </c>
      <c r="J102" s="24" t="s">
        <v>2359</v>
      </c>
      <c r="K102" s="24" t="s">
        <v>2371</v>
      </c>
      <c r="L102" t="s">
        <v>1402</v>
      </c>
      <c r="M102" t="s">
        <v>1417</v>
      </c>
      <c r="N102" t="s">
        <v>1425</v>
      </c>
      <c r="O102" t="s">
        <v>1428</v>
      </c>
      <c r="P102" t="s">
        <v>1429</v>
      </c>
      <c r="Q102">
        <v>36</v>
      </c>
      <c r="R102" s="2">
        <v>8457780268366</v>
      </c>
      <c r="S102" s="3" t="s">
        <v>782</v>
      </c>
      <c r="T102" t="s">
        <v>1361</v>
      </c>
      <c r="U102" t="s">
        <v>1362</v>
      </c>
    </row>
    <row r="103" spans="1:21" x14ac:dyDescent="0.25">
      <c r="A103" t="s">
        <v>108</v>
      </c>
      <c r="B103" t="s">
        <v>2223</v>
      </c>
      <c r="C103" t="s">
        <v>111</v>
      </c>
      <c r="D103" t="s">
        <v>1531</v>
      </c>
      <c r="E103" t="str">
        <f>+CONCATENATE(D103,". FABRICADO EN ",M103,". PUNTERA DE ",N103,". PLANTILLA ",O103,". SUELA DE ",P103)</f>
        <v>ZAPATO SERRAJE S1+P+SRC Azul 37. FABRICADO EN PIEL SERRAJE. PUNTERA DE Fibra de vidrio. PLANTILLA Antiperforación textil. SUELA DE PU/PU DOBLE DENSIDAD</v>
      </c>
      <c r="F103" t="str">
        <f>PROPER(E103)</f>
        <v>Zapato Serraje S1+P+Src Azul 37. Fabricado En Piel Serraje. Puntera De Fibra De Vidrio. Plantilla Antiperforación Textil. Suela De Pu/Pu Doble Densidad</v>
      </c>
      <c r="G103" s="24">
        <f>VLOOKUP(B103,Tabla1[],2,0)</f>
        <v>14.9</v>
      </c>
      <c r="H103" s="24">
        <f>+G103/0.7</f>
        <v>21.285714285714288</v>
      </c>
      <c r="I103" s="24">
        <f>+H103*1.21</f>
        <v>25.755714285714287</v>
      </c>
      <c r="J103" s="24" t="s">
        <v>2359</v>
      </c>
      <c r="K103" s="24" t="s">
        <v>2371</v>
      </c>
      <c r="L103" t="s">
        <v>1402</v>
      </c>
      <c r="M103" t="s">
        <v>1417</v>
      </c>
      <c r="N103" t="s">
        <v>1425</v>
      </c>
      <c r="O103" t="s">
        <v>1428</v>
      </c>
      <c r="P103" t="s">
        <v>1429</v>
      </c>
      <c r="Q103">
        <v>37</v>
      </c>
      <c r="R103" s="2">
        <v>8457780268373</v>
      </c>
      <c r="S103" s="3" t="s">
        <v>783</v>
      </c>
      <c r="T103" t="s">
        <v>1361</v>
      </c>
      <c r="U103" t="s">
        <v>1362</v>
      </c>
    </row>
    <row r="104" spans="1:21" x14ac:dyDescent="0.25">
      <c r="A104" t="s">
        <v>108</v>
      </c>
      <c r="B104" t="s">
        <v>2223</v>
      </c>
      <c r="C104" t="s">
        <v>112</v>
      </c>
      <c r="D104" t="s">
        <v>1532</v>
      </c>
      <c r="E104" t="str">
        <f>+CONCATENATE(D104,". FABRICADO EN ",M104,". PUNTERA DE ",N104,". PLANTILLA ",O104,". SUELA DE ",P104)</f>
        <v>ZAPATO SERRAJE S1+P+SRC Azul 38. FABRICADO EN PIEL SERRAJE. PUNTERA DE Fibra de vidrio. PLANTILLA Antiperforación textil. SUELA DE PU/PU DOBLE DENSIDAD</v>
      </c>
      <c r="F104" t="str">
        <f>PROPER(E104)</f>
        <v>Zapato Serraje S1+P+Src Azul 38. Fabricado En Piel Serraje. Puntera De Fibra De Vidrio. Plantilla Antiperforación Textil. Suela De Pu/Pu Doble Densidad</v>
      </c>
      <c r="G104" s="24">
        <f>VLOOKUP(B104,Tabla1[],2,0)</f>
        <v>14.9</v>
      </c>
      <c r="H104" s="24">
        <f>+G104/0.7</f>
        <v>21.285714285714288</v>
      </c>
      <c r="I104" s="24">
        <f>+H104*1.21</f>
        <v>25.755714285714287</v>
      </c>
      <c r="J104" s="24" t="s">
        <v>2359</v>
      </c>
      <c r="K104" s="24" t="s">
        <v>2371</v>
      </c>
      <c r="L104" t="s">
        <v>1402</v>
      </c>
      <c r="M104" t="s">
        <v>1417</v>
      </c>
      <c r="N104" t="s">
        <v>1425</v>
      </c>
      <c r="O104" t="s">
        <v>1428</v>
      </c>
      <c r="P104" t="s">
        <v>1429</v>
      </c>
      <c r="Q104">
        <v>38</v>
      </c>
      <c r="R104" s="2">
        <v>8457780268380</v>
      </c>
      <c r="S104" s="3" t="s">
        <v>784</v>
      </c>
      <c r="T104" t="s">
        <v>1361</v>
      </c>
      <c r="U104" t="s">
        <v>1362</v>
      </c>
    </row>
    <row r="105" spans="1:21" x14ac:dyDescent="0.25">
      <c r="A105" t="s">
        <v>108</v>
      </c>
      <c r="B105" t="s">
        <v>2223</v>
      </c>
      <c r="C105" t="s">
        <v>113</v>
      </c>
      <c r="D105" t="s">
        <v>1533</v>
      </c>
      <c r="E105" t="str">
        <f>+CONCATENATE(D105,". FABRICADO EN ",M105,". PUNTERA DE ",N105,". PLANTILLA ",O105,". SUELA DE ",P105)</f>
        <v>ZAPATO SERRAJE S1+P+SRC Azul 39. FABRICADO EN PIEL SERRAJE. PUNTERA DE Fibra de vidrio. PLANTILLA Antiperforación textil. SUELA DE PU/PU DOBLE DENSIDAD</v>
      </c>
      <c r="F105" t="str">
        <f>PROPER(E105)</f>
        <v>Zapato Serraje S1+P+Src Azul 39. Fabricado En Piel Serraje. Puntera De Fibra De Vidrio. Plantilla Antiperforación Textil. Suela De Pu/Pu Doble Densidad</v>
      </c>
      <c r="G105" s="24">
        <f>VLOOKUP(B105,Tabla1[],2,0)</f>
        <v>14.9</v>
      </c>
      <c r="H105" s="24">
        <f>+G105/0.7</f>
        <v>21.285714285714288</v>
      </c>
      <c r="I105" s="24">
        <f>+H105*1.21</f>
        <v>25.755714285714287</v>
      </c>
      <c r="J105" s="24" t="s">
        <v>2359</v>
      </c>
      <c r="K105" s="24" t="s">
        <v>2371</v>
      </c>
      <c r="L105" t="s">
        <v>1402</v>
      </c>
      <c r="M105" t="s">
        <v>1417</v>
      </c>
      <c r="N105" t="s">
        <v>1425</v>
      </c>
      <c r="O105" t="s">
        <v>1428</v>
      </c>
      <c r="P105" t="s">
        <v>1429</v>
      </c>
      <c r="Q105">
        <v>39</v>
      </c>
      <c r="R105" s="2">
        <v>8457780268397</v>
      </c>
      <c r="S105" s="3" t="s">
        <v>785</v>
      </c>
      <c r="T105" t="s">
        <v>1361</v>
      </c>
      <c r="U105" t="s">
        <v>1362</v>
      </c>
    </row>
    <row r="106" spans="1:21" x14ac:dyDescent="0.25">
      <c r="A106" t="s">
        <v>108</v>
      </c>
      <c r="B106" t="s">
        <v>2223</v>
      </c>
      <c r="C106" t="s">
        <v>114</v>
      </c>
      <c r="D106" t="s">
        <v>1534</v>
      </c>
      <c r="E106" t="str">
        <f>+CONCATENATE(D106,". FABRICADO EN ",M106,". PUNTERA DE ",N106,". PLANTILLA ",O106,". SUELA DE ",P106)</f>
        <v>ZAPATO SERRAJE S1+P+SRC Azul 40. FABRICADO EN PIEL SERRAJE. PUNTERA DE Fibra de vidrio. PLANTILLA Antiperforación textil. SUELA DE PU/PU DOBLE DENSIDAD</v>
      </c>
      <c r="F106" t="str">
        <f>PROPER(E106)</f>
        <v>Zapato Serraje S1+P+Src Azul 40. Fabricado En Piel Serraje. Puntera De Fibra De Vidrio. Plantilla Antiperforación Textil. Suela De Pu/Pu Doble Densidad</v>
      </c>
      <c r="G106" s="24">
        <f>VLOOKUP(B106,Tabla1[],2,0)</f>
        <v>14.9</v>
      </c>
      <c r="H106" s="24">
        <f>+G106/0.7</f>
        <v>21.285714285714288</v>
      </c>
      <c r="I106" s="24">
        <f>+H106*1.21</f>
        <v>25.755714285714287</v>
      </c>
      <c r="J106" s="24" t="s">
        <v>2359</v>
      </c>
      <c r="K106" s="24" t="s">
        <v>2371</v>
      </c>
      <c r="L106" t="s">
        <v>1402</v>
      </c>
      <c r="M106" t="s">
        <v>1417</v>
      </c>
      <c r="N106" t="s">
        <v>1425</v>
      </c>
      <c r="O106" t="s">
        <v>1428</v>
      </c>
      <c r="P106" t="s">
        <v>1429</v>
      </c>
      <c r="Q106">
        <v>40</v>
      </c>
      <c r="R106" s="2">
        <v>8457780268403</v>
      </c>
      <c r="S106" s="3" t="s">
        <v>786</v>
      </c>
      <c r="T106" t="s">
        <v>1361</v>
      </c>
      <c r="U106" t="s">
        <v>1362</v>
      </c>
    </row>
    <row r="107" spans="1:21" x14ac:dyDescent="0.25">
      <c r="A107" t="s">
        <v>108</v>
      </c>
      <c r="B107" t="s">
        <v>2223</v>
      </c>
      <c r="C107" t="s">
        <v>115</v>
      </c>
      <c r="D107" t="s">
        <v>1535</v>
      </c>
      <c r="E107" t="str">
        <f>+CONCATENATE(D107,". FABRICADO EN ",M107,". PUNTERA DE ",N107,". PLANTILLA ",O107,". SUELA DE ",P107)</f>
        <v>ZAPATO SERRAJE S1+P+SRC Azul 41. FABRICADO EN PIEL SERRAJE. PUNTERA DE Fibra de vidrio. PLANTILLA Antiperforación textil. SUELA DE PU/PU DOBLE DENSIDAD</v>
      </c>
      <c r="F107" t="str">
        <f>PROPER(E107)</f>
        <v>Zapato Serraje S1+P+Src Azul 41. Fabricado En Piel Serraje. Puntera De Fibra De Vidrio. Plantilla Antiperforación Textil. Suela De Pu/Pu Doble Densidad</v>
      </c>
      <c r="G107" s="24">
        <f>VLOOKUP(B107,Tabla1[],2,0)</f>
        <v>14.9</v>
      </c>
      <c r="H107" s="24">
        <f>+G107/0.7</f>
        <v>21.285714285714288</v>
      </c>
      <c r="I107" s="24">
        <f>+H107*1.21</f>
        <v>25.755714285714287</v>
      </c>
      <c r="J107" s="24" t="s">
        <v>2359</v>
      </c>
      <c r="K107" s="24" t="s">
        <v>2371</v>
      </c>
      <c r="L107" t="s">
        <v>1402</v>
      </c>
      <c r="M107" t="s">
        <v>1417</v>
      </c>
      <c r="N107" t="s">
        <v>1425</v>
      </c>
      <c r="O107" t="s">
        <v>1428</v>
      </c>
      <c r="P107" t="s">
        <v>1429</v>
      </c>
      <c r="Q107">
        <v>41</v>
      </c>
      <c r="R107" s="2">
        <v>8457780268410</v>
      </c>
      <c r="S107" s="3" t="s">
        <v>787</v>
      </c>
      <c r="T107" t="s">
        <v>1361</v>
      </c>
      <c r="U107" t="s">
        <v>1362</v>
      </c>
    </row>
    <row r="108" spans="1:21" x14ac:dyDescent="0.25">
      <c r="A108" t="s">
        <v>108</v>
      </c>
      <c r="B108" t="s">
        <v>2223</v>
      </c>
      <c r="C108" t="s">
        <v>116</v>
      </c>
      <c r="D108" t="s">
        <v>1536</v>
      </c>
      <c r="E108" t="str">
        <f>+CONCATENATE(D108,". FABRICADO EN ",M108,". PUNTERA DE ",N108,". PLANTILLA ",O108,". SUELA DE ",P108)</f>
        <v>ZAPATO SERRAJE S1+P+SRC Azul 42. FABRICADO EN PIEL SERRAJE. PUNTERA DE Fibra de vidrio. PLANTILLA Antiperforación textil. SUELA DE PU/PU DOBLE DENSIDAD</v>
      </c>
      <c r="F108" t="str">
        <f>PROPER(E108)</f>
        <v>Zapato Serraje S1+P+Src Azul 42. Fabricado En Piel Serraje. Puntera De Fibra De Vidrio. Plantilla Antiperforación Textil. Suela De Pu/Pu Doble Densidad</v>
      </c>
      <c r="G108" s="24">
        <f>VLOOKUP(B108,Tabla1[],2,0)</f>
        <v>14.9</v>
      </c>
      <c r="H108" s="24">
        <f>+G108/0.7</f>
        <v>21.285714285714288</v>
      </c>
      <c r="I108" s="24">
        <f>+H108*1.21</f>
        <v>25.755714285714287</v>
      </c>
      <c r="J108" s="24" t="s">
        <v>2359</v>
      </c>
      <c r="K108" s="24" t="s">
        <v>2371</v>
      </c>
      <c r="L108" t="s">
        <v>1402</v>
      </c>
      <c r="M108" t="s">
        <v>1417</v>
      </c>
      <c r="N108" t="s">
        <v>1425</v>
      </c>
      <c r="O108" t="s">
        <v>1428</v>
      </c>
      <c r="P108" t="s">
        <v>1429</v>
      </c>
      <c r="Q108">
        <v>42</v>
      </c>
      <c r="R108" s="2">
        <v>8457780268427</v>
      </c>
      <c r="S108" s="3" t="s">
        <v>788</v>
      </c>
      <c r="T108" t="s">
        <v>1361</v>
      </c>
      <c r="U108" t="s">
        <v>1362</v>
      </c>
    </row>
    <row r="109" spans="1:21" x14ac:dyDescent="0.25">
      <c r="A109" t="s">
        <v>108</v>
      </c>
      <c r="B109" t="s">
        <v>2223</v>
      </c>
      <c r="C109" t="s">
        <v>117</v>
      </c>
      <c r="D109" t="s">
        <v>1537</v>
      </c>
      <c r="E109" t="str">
        <f>+CONCATENATE(D109,". FABRICADO EN ",M109,". PUNTERA DE ",N109,". PLANTILLA ",O109,". SUELA DE ",P109)</f>
        <v>ZAPATO SERRAJE S1+P+SRC Azul 43. FABRICADO EN PIEL SERRAJE. PUNTERA DE Fibra de vidrio. PLANTILLA Antiperforación textil. SUELA DE PU/PU DOBLE DENSIDAD</v>
      </c>
      <c r="F109" t="str">
        <f>PROPER(E109)</f>
        <v>Zapato Serraje S1+P+Src Azul 43. Fabricado En Piel Serraje. Puntera De Fibra De Vidrio. Plantilla Antiperforación Textil. Suela De Pu/Pu Doble Densidad</v>
      </c>
      <c r="G109" s="24">
        <f>VLOOKUP(B109,Tabla1[],2,0)</f>
        <v>14.9</v>
      </c>
      <c r="H109" s="24">
        <f>+G109/0.7</f>
        <v>21.285714285714288</v>
      </c>
      <c r="I109" s="24">
        <f>+H109*1.21</f>
        <v>25.755714285714287</v>
      </c>
      <c r="J109" s="24" t="s">
        <v>2359</v>
      </c>
      <c r="K109" s="24" t="s">
        <v>2371</v>
      </c>
      <c r="L109" t="s">
        <v>1402</v>
      </c>
      <c r="M109" t="s">
        <v>1417</v>
      </c>
      <c r="N109" t="s">
        <v>1425</v>
      </c>
      <c r="O109" t="s">
        <v>1428</v>
      </c>
      <c r="P109" t="s">
        <v>1429</v>
      </c>
      <c r="Q109">
        <v>43</v>
      </c>
      <c r="R109" s="2">
        <v>8457780268434</v>
      </c>
      <c r="S109" s="3" t="s">
        <v>789</v>
      </c>
      <c r="T109" t="s">
        <v>1361</v>
      </c>
      <c r="U109" t="s">
        <v>1362</v>
      </c>
    </row>
    <row r="110" spans="1:21" x14ac:dyDescent="0.25">
      <c r="A110" t="s">
        <v>108</v>
      </c>
      <c r="B110" t="s">
        <v>2223</v>
      </c>
      <c r="C110" t="s">
        <v>118</v>
      </c>
      <c r="D110" t="s">
        <v>1538</v>
      </c>
      <c r="E110" t="str">
        <f>+CONCATENATE(D110,". FABRICADO EN ",M110,". PUNTERA DE ",N110,". PLANTILLA ",O110,". SUELA DE ",P110)</f>
        <v>ZAPATO SERRAJE S1+P+SRC Azul 44. FABRICADO EN PIEL SERRAJE. PUNTERA DE Fibra de vidrio. PLANTILLA Antiperforación textil. SUELA DE PU/PU DOBLE DENSIDAD</v>
      </c>
      <c r="F110" t="str">
        <f>PROPER(E110)</f>
        <v>Zapato Serraje S1+P+Src Azul 44. Fabricado En Piel Serraje. Puntera De Fibra De Vidrio. Plantilla Antiperforación Textil. Suela De Pu/Pu Doble Densidad</v>
      </c>
      <c r="G110" s="24">
        <f>VLOOKUP(B110,Tabla1[],2,0)</f>
        <v>14.9</v>
      </c>
      <c r="H110" s="24">
        <f>+G110/0.7</f>
        <v>21.285714285714288</v>
      </c>
      <c r="I110" s="24">
        <f>+H110*1.21</f>
        <v>25.755714285714287</v>
      </c>
      <c r="J110" s="24" t="s">
        <v>2359</v>
      </c>
      <c r="K110" s="24" t="s">
        <v>2371</v>
      </c>
      <c r="L110" t="s">
        <v>1402</v>
      </c>
      <c r="M110" t="s">
        <v>1417</v>
      </c>
      <c r="N110" t="s">
        <v>1425</v>
      </c>
      <c r="O110" t="s">
        <v>1428</v>
      </c>
      <c r="P110" t="s">
        <v>1429</v>
      </c>
      <c r="Q110">
        <v>44</v>
      </c>
      <c r="R110" s="2">
        <v>8457780268441</v>
      </c>
      <c r="S110" s="3" t="s">
        <v>790</v>
      </c>
      <c r="T110" t="s">
        <v>1361</v>
      </c>
      <c r="U110" t="s">
        <v>1362</v>
      </c>
    </row>
    <row r="111" spans="1:21" x14ac:dyDescent="0.25">
      <c r="A111" t="s">
        <v>108</v>
      </c>
      <c r="B111" t="s">
        <v>2223</v>
      </c>
      <c r="C111" t="s">
        <v>119</v>
      </c>
      <c r="D111" t="s">
        <v>1539</v>
      </c>
      <c r="E111" t="str">
        <f>+CONCATENATE(D111,". FABRICADO EN ",M111,". PUNTERA DE ",N111,". PLANTILLA ",O111,". SUELA DE ",P111)</f>
        <v>ZAPATO SERRAJE S1+P+SRC Azul 45. FABRICADO EN PIEL SERRAJE. PUNTERA DE Fibra de vidrio. PLANTILLA Antiperforación textil. SUELA DE PU/PU DOBLE DENSIDAD</v>
      </c>
      <c r="F111" t="str">
        <f>PROPER(E111)</f>
        <v>Zapato Serraje S1+P+Src Azul 45. Fabricado En Piel Serraje. Puntera De Fibra De Vidrio. Plantilla Antiperforación Textil. Suela De Pu/Pu Doble Densidad</v>
      </c>
      <c r="G111" s="24">
        <f>VLOOKUP(B111,Tabla1[],2,0)</f>
        <v>14.9</v>
      </c>
      <c r="H111" s="24">
        <f>+G111/0.7</f>
        <v>21.285714285714288</v>
      </c>
      <c r="I111" s="24">
        <f>+H111*1.21</f>
        <v>25.755714285714287</v>
      </c>
      <c r="J111" s="24" t="s">
        <v>2359</v>
      </c>
      <c r="K111" s="24" t="s">
        <v>2371</v>
      </c>
      <c r="L111" t="s">
        <v>1402</v>
      </c>
      <c r="M111" t="s">
        <v>1417</v>
      </c>
      <c r="N111" t="s">
        <v>1425</v>
      </c>
      <c r="O111" t="s">
        <v>1428</v>
      </c>
      <c r="P111" t="s">
        <v>1429</v>
      </c>
      <c r="Q111">
        <v>45</v>
      </c>
      <c r="R111" s="2">
        <v>8457780268458</v>
      </c>
      <c r="S111" s="3" t="s">
        <v>791</v>
      </c>
      <c r="T111" t="s">
        <v>1361</v>
      </c>
      <c r="U111" t="s">
        <v>1362</v>
      </c>
    </row>
    <row r="112" spans="1:21" x14ac:dyDescent="0.25">
      <c r="A112" t="s">
        <v>108</v>
      </c>
      <c r="B112" t="s">
        <v>2223</v>
      </c>
      <c r="C112" t="s">
        <v>120</v>
      </c>
      <c r="D112" t="s">
        <v>1540</v>
      </c>
      <c r="E112" t="str">
        <f>+CONCATENATE(D112,". FABRICADO EN ",M112,". PUNTERA DE ",N112,". PLANTILLA ",O112,". SUELA DE ",P112)</f>
        <v>ZAPATO SERRAJE S1+P+SRC Azul 46. FABRICADO EN PIEL SERRAJE. PUNTERA DE Fibra de vidrio. PLANTILLA Antiperforación textil. SUELA DE PU/PU DOBLE DENSIDAD</v>
      </c>
      <c r="F112" t="str">
        <f>PROPER(E112)</f>
        <v>Zapato Serraje S1+P+Src Azul 46. Fabricado En Piel Serraje. Puntera De Fibra De Vidrio. Plantilla Antiperforación Textil. Suela De Pu/Pu Doble Densidad</v>
      </c>
      <c r="G112" s="24">
        <f>VLOOKUP(B112,Tabla1[],2,0)</f>
        <v>14.9</v>
      </c>
      <c r="H112" s="24">
        <f>+G112/0.7</f>
        <v>21.285714285714288</v>
      </c>
      <c r="I112" s="24">
        <f>+H112*1.21</f>
        <v>25.755714285714287</v>
      </c>
      <c r="J112" s="24" t="s">
        <v>2359</v>
      </c>
      <c r="K112" s="24" t="s">
        <v>2371</v>
      </c>
      <c r="L112" t="s">
        <v>1402</v>
      </c>
      <c r="M112" t="s">
        <v>1417</v>
      </c>
      <c r="N112" t="s">
        <v>1425</v>
      </c>
      <c r="O112" t="s">
        <v>1428</v>
      </c>
      <c r="P112" t="s">
        <v>1429</v>
      </c>
      <c r="Q112">
        <v>46</v>
      </c>
      <c r="R112" s="2">
        <v>8457780268465</v>
      </c>
      <c r="S112" s="3" t="s">
        <v>792</v>
      </c>
      <c r="T112" t="s">
        <v>1361</v>
      </c>
      <c r="U112" t="s">
        <v>1362</v>
      </c>
    </row>
    <row r="113" spans="1:21" x14ac:dyDescent="0.25">
      <c r="A113" t="s">
        <v>108</v>
      </c>
      <c r="B113" t="s">
        <v>2223</v>
      </c>
      <c r="C113" t="s">
        <v>121</v>
      </c>
      <c r="D113" t="s">
        <v>1541</v>
      </c>
      <c r="E113" t="str">
        <f>+CONCATENATE(D113,". FABRICADO EN ",M113,". PUNTERA DE ",N113,". PLANTILLA ",O113,". SUELA DE ",P113)</f>
        <v>ZAPATO SERRAJE S1+P+SRC Azul 47. FABRICADO EN PIEL SERRAJE. PUNTERA DE Fibra de vidrio. PLANTILLA Antiperforación textil. SUELA DE PU/PU DOBLE DENSIDAD</v>
      </c>
      <c r="F113" t="str">
        <f>PROPER(E113)</f>
        <v>Zapato Serraje S1+P+Src Azul 47. Fabricado En Piel Serraje. Puntera De Fibra De Vidrio. Plantilla Antiperforación Textil. Suela De Pu/Pu Doble Densidad</v>
      </c>
      <c r="G113" s="24">
        <f>VLOOKUP(B113,Tabla1[],2,0)</f>
        <v>14.9</v>
      </c>
      <c r="H113" s="24">
        <f>+G113/0.7</f>
        <v>21.285714285714288</v>
      </c>
      <c r="I113" s="24">
        <f>+H113*1.21</f>
        <v>25.755714285714287</v>
      </c>
      <c r="J113" s="24" t="s">
        <v>2359</v>
      </c>
      <c r="K113" s="24" t="s">
        <v>2371</v>
      </c>
      <c r="L113" t="s">
        <v>1402</v>
      </c>
      <c r="M113" t="s">
        <v>1417</v>
      </c>
      <c r="N113" t="s">
        <v>1425</v>
      </c>
      <c r="O113" t="s">
        <v>1428</v>
      </c>
      <c r="P113" t="s">
        <v>1429</v>
      </c>
      <c r="Q113">
        <v>47</v>
      </c>
      <c r="R113" s="2">
        <v>8457780268472</v>
      </c>
      <c r="S113" s="3" t="s">
        <v>793</v>
      </c>
      <c r="T113" t="s">
        <v>1361</v>
      </c>
      <c r="U113" t="s">
        <v>1362</v>
      </c>
    </row>
    <row r="114" spans="1:21" x14ac:dyDescent="0.25">
      <c r="A114" t="s">
        <v>108</v>
      </c>
      <c r="B114" t="s">
        <v>2223</v>
      </c>
      <c r="C114" t="s">
        <v>122</v>
      </c>
      <c r="D114" t="s">
        <v>1542</v>
      </c>
      <c r="E114" t="str">
        <f>+CONCATENATE(D114,". FABRICADO EN ",M114,". PUNTERA DE ",N114,". PLANTILLA ",O114,". SUELA DE ",P114)</f>
        <v>ZAPATO SERRAJE S1+P+SRC Azul 48. FABRICADO EN PIEL SERRAJE. PUNTERA DE Fibra de vidrio. PLANTILLA Antiperforación textil. SUELA DE PU/PU DOBLE DENSIDAD</v>
      </c>
      <c r="F114" t="str">
        <f>PROPER(E114)</f>
        <v>Zapato Serraje S1+P+Src Azul 48. Fabricado En Piel Serraje. Puntera De Fibra De Vidrio. Plantilla Antiperforación Textil. Suela De Pu/Pu Doble Densidad</v>
      </c>
      <c r="G114" s="24">
        <f>VLOOKUP(B114,Tabla1[],2,0)</f>
        <v>14.9</v>
      </c>
      <c r="H114" s="24">
        <f>+G114/0.7</f>
        <v>21.285714285714288</v>
      </c>
      <c r="I114" s="24">
        <f>+H114*1.21</f>
        <v>25.755714285714287</v>
      </c>
      <c r="J114" s="24" t="s">
        <v>2359</v>
      </c>
      <c r="K114" s="24" t="s">
        <v>2371</v>
      </c>
      <c r="L114" t="s">
        <v>1402</v>
      </c>
      <c r="M114" t="s">
        <v>1417</v>
      </c>
      <c r="N114" t="s">
        <v>1425</v>
      </c>
      <c r="O114" t="s">
        <v>1428</v>
      </c>
      <c r="P114" t="s">
        <v>1429</v>
      </c>
      <c r="Q114">
        <v>48</v>
      </c>
      <c r="R114" s="2">
        <v>8457780303999</v>
      </c>
      <c r="S114" s="3" t="s">
        <v>794</v>
      </c>
      <c r="T114" t="s">
        <v>1361</v>
      </c>
      <c r="U114" t="s">
        <v>1362</v>
      </c>
    </row>
    <row r="115" spans="1:21" x14ac:dyDescent="0.25">
      <c r="A115" t="s">
        <v>2199</v>
      </c>
      <c r="B115" t="s">
        <v>2224</v>
      </c>
      <c r="C115" t="s">
        <v>2180</v>
      </c>
      <c r="D115" t="s">
        <v>2179</v>
      </c>
      <c r="E115" t="str">
        <f>+CONCATENATE(D115,". FABRICADO EN ",M115,". PUNTERA DE ",N115,". PLANTILLA ",O115,". SUELA DE ",P115)</f>
        <v>BOTA S3S+CI+FO+SC+SR+ESD Negro 35. FABRICADO EN TEXTIL S3. PUNTERA DE Fibra de vidrio. PLANTILLA Antiperforación textil. SUELA DE PU/PU DOBLE DENSIDAD</v>
      </c>
      <c r="F115" t="str">
        <f>PROPER(E115)</f>
        <v>Bota S3S+Ci+Fo+Sc+Sr+Esd Negro 35. Fabricado En Textil S3. Puntera De Fibra De Vidrio. Plantilla Antiperforación Textil. Suela De Pu/Pu Doble Densidad</v>
      </c>
      <c r="G115" s="24">
        <f>VLOOKUP(B115,Tabla1[],2,0)</f>
        <v>19.899999999999999</v>
      </c>
      <c r="H115" s="24">
        <f>+G115/0.72</f>
        <v>27.638888888888889</v>
      </c>
      <c r="I115" s="24">
        <f>+H115*1.21</f>
        <v>33.443055555555553</v>
      </c>
      <c r="J115" s="24" t="s">
        <v>2326</v>
      </c>
      <c r="K115" s="24" t="s">
        <v>2365</v>
      </c>
      <c r="L115" t="s">
        <v>1392</v>
      </c>
      <c r="M115" t="s">
        <v>1414</v>
      </c>
      <c r="N115" t="s">
        <v>1425</v>
      </c>
      <c r="O115" t="s">
        <v>1428</v>
      </c>
      <c r="P115" t="s">
        <v>1429</v>
      </c>
      <c r="Q115">
        <v>35</v>
      </c>
      <c r="R115" s="2">
        <v>8457780350634</v>
      </c>
      <c r="S115" s="3">
        <v>18457780350631</v>
      </c>
      <c r="T115" t="s">
        <v>2200</v>
      </c>
      <c r="U115" t="s">
        <v>2201</v>
      </c>
    </row>
    <row r="116" spans="1:21" x14ac:dyDescent="0.25">
      <c r="A116" t="s">
        <v>2199</v>
      </c>
      <c r="B116" t="s">
        <v>2224</v>
      </c>
      <c r="C116" t="s">
        <v>2178</v>
      </c>
      <c r="D116" t="s">
        <v>2177</v>
      </c>
      <c r="E116" t="str">
        <f>+CONCATENATE(D116,". FABRICADO EN ",M116,". PUNTERA DE ",N116,". PLANTILLA ",O116,". SUELA DE ",P116)</f>
        <v>BOTA S3S+CI+FO+SC+SR+ESD Negro 36. FABRICADO EN TEXTIL S3. PUNTERA DE Fibra de vidrio. PLANTILLA Antiperforación textil. SUELA DE PU/PU DOBLE DENSIDAD</v>
      </c>
      <c r="F116" t="str">
        <f>PROPER(E116)</f>
        <v>Bota S3S+Ci+Fo+Sc+Sr+Esd Negro 36. Fabricado En Textil S3. Puntera De Fibra De Vidrio. Plantilla Antiperforación Textil. Suela De Pu/Pu Doble Densidad</v>
      </c>
      <c r="G116" s="24">
        <f>VLOOKUP(B116,Tabla1[],2,0)</f>
        <v>19.899999999999999</v>
      </c>
      <c r="H116" s="24">
        <f>+G116/0.72</f>
        <v>27.638888888888889</v>
      </c>
      <c r="I116" s="24">
        <f>+H116*1.21</f>
        <v>33.443055555555553</v>
      </c>
      <c r="J116" s="24" t="s">
        <v>2326</v>
      </c>
      <c r="K116" s="24" t="s">
        <v>2365</v>
      </c>
      <c r="L116" t="s">
        <v>1392</v>
      </c>
      <c r="M116" t="s">
        <v>1414</v>
      </c>
      <c r="N116" t="s">
        <v>1425</v>
      </c>
      <c r="O116" t="s">
        <v>1428</v>
      </c>
      <c r="P116" t="s">
        <v>1429</v>
      </c>
      <c r="Q116">
        <v>36</v>
      </c>
      <c r="R116" s="2">
        <v>8457780350641</v>
      </c>
      <c r="S116" s="3">
        <v>18457780350648</v>
      </c>
      <c r="T116" t="s">
        <v>2200</v>
      </c>
      <c r="U116" t="s">
        <v>2202</v>
      </c>
    </row>
    <row r="117" spans="1:21" x14ac:dyDescent="0.25">
      <c r="A117" t="s">
        <v>2199</v>
      </c>
      <c r="B117" t="s">
        <v>2224</v>
      </c>
      <c r="C117" t="s">
        <v>2176</v>
      </c>
      <c r="D117" t="s">
        <v>2175</v>
      </c>
      <c r="E117" t="str">
        <f>+CONCATENATE(D117,". FABRICADO EN ",M117,". PUNTERA DE ",N117,". PLANTILLA ",O117,". SUELA DE ",P117)</f>
        <v>BOTA S3S+CI+FO+SC+SR+ESD Negro 37. FABRICADO EN TEXTIL S3. PUNTERA DE Fibra de vidrio. PLANTILLA Antiperforación textil. SUELA DE PU/PU DOBLE DENSIDAD</v>
      </c>
      <c r="F117" t="str">
        <f>PROPER(E117)</f>
        <v>Bota S3S+Ci+Fo+Sc+Sr+Esd Negro 37. Fabricado En Textil S3. Puntera De Fibra De Vidrio. Plantilla Antiperforación Textil. Suela De Pu/Pu Doble Densidad</v>
      </c>
      <c r="G117" s="24">
        <f>VLOOKUP(B117,Tabla1[],2,0)</f>
        <v>19.899999999999999</v>
      </c>
      <c r="H117" s="24">
        <f>+G117/0.72</f>
        <v>27.638888888888889</v>
      </c>
      <c r="I117" s="24">
        <f>+H117*1.21</f>
        <v>33.443055555555553</v>
      </c>
      <c r="J117" s="24" t="s">
        <v>2326</v>
      </c>
      <c r="K117" s="24" t="s">
        <v>2365</v>
      </c>
      <c r="L117" t="s">
        <v>1392</v>
      </c>
      <c r="M117" t="s">
        <v>1414</v>
      </c>
      <c r="N117" t="s">
        <v>1425</v>
      </c>
      <c r="O117" t="s">
        <v>1428</v>
      </c>
      <c r="P117" t="s">
        <v>1429</v>
      </c>
      <c r="Q117">
        <v>37</v>
      </c>
      <c r="R117" s="2">
        <v>8457780350658</v>
      </c>
      <c r="S117" s="3">
        <v>18457780350655</v>
      </c>
      <c r="T117" t="s">
        <v>2200</v>
      </c>
      <c r="U117" t="s">
        <v>2203</v>
      </c>
    </row>
    <row r="118" spans="1:21" x14ac:dyDescent="0.25">
      <c r="A118" t="s">
        <v>2199</v>
      </c>
      <c r="B118" t="s">
        <v>2224</v>
      </c>
      <c r="C118" t="s">
        <v>2174</v>
      </c>
      <c r="D118" t="s">
        <v>2173</v>
      </c>
      <c r="E118" t="str">
        <f>+CONCATENATE(D118,". FABRICADO EN ",M118,". PUNTERA DE ",N118,". PLANTILLA ",O118,". SUELA DE ",P118)</f>
        <v>BOTA S3S+CI+FO+SC+SR+ESD Negro 38. FABRICADO EN TEXTIL S3. PUNTERA DE Fibra de vidrio. PLANTILLA Antiperforación textil. SUELA DE PU/PU DOBLE DENSIDAD</v>
      </c>
      <c r="F118" t="str">
        <f>PROPER(E118)</f>
        <v>Bota S3S+Ci+Fo+Sc+Sr+Esd Negro 38. Fabricado En Textil S3. Puntera De Fibra De Vidrio. Plantilla Antiperforación Textil. Suela De Pu/Pu Doble Densidad</v>
      </c>
      <c r="G118" s="24">
        <f>VLOOKUP(B118,Tabla1[],2,0)</f>
        <v>19.899999999999999</v>
      </c>
      <c r="H118" s="24">
        <f>+G118/0.72</f>
        <v>27.638888888888889</v>
      </c>
      <c r="I118" s="24">
        <f>+H118*1.21</f>
        <v>33.443055555555553</v>
      </c>
      <c r="J118" s="24" t="s">
        <v>2326</v>
      </c>
      <c r="K118" s="24" t="s">
        <v>2365</v>
      </c>
      <c r="L118" t="s">
        <v>1392</v>
      </c>
      <c r="M118" t="s">
        <v>1414</v>
      </c>
      <c r="N118" t="s">
        <v>1425</v>
      </c>
      <c r="O118" t="s">
        <v>1428</v>
      </c>
      <c r="P118" t="s">
        <v>1429</v>
      </c>
      <c r="Q118">
        <v>38</v>
      </c>
      <c r="R118" s="2">
        <v>8457780350665</v>
      </c>
      <c r="S118" s="3">
        <v>18457780350662</v>
      </c>
      <c r="T118" t="s">
        <v>2200</v>
      </c>
      <c r="U118" t="s">
        <v>2204</v>
      </c>
    </row>
    <row r="119" spans="1:21" x14ac:dyDescent="0.25">
      <c r="A119" t="s">
        <v>2199</v>
      </c>
      <c r="B119" t="s">
        <v>2224</v>
      </c>
      <c r="C119" t="s">
        <v>2172</v>
      </c>
      <c r="D119" t="s">
        <v>2171</v>
      </c>
      <c r="E119" t="str">
        <f>+CONCATENATE(D119,". FABRICADO EN ",M119,". PUNTERA DE ",N119,". PLANTILLA ",O119,". SUELA DE ",P119)</f>
        <v>BOTA S3S+CI+FO+SC+SR+ESD Negro 39. FABRICADO EN TEXTIL S3. PUNTERA DE Fibra de vidrio. PLANTILLA Antiperforación textil. SUELA DE PU/PU DOBLE DENSIDAD</v>
      </c>
      <c r="F119" t="str">
        <f>PROPER(E119)</f>
        <v>Bota S3S+Ci+Fo+Sc+Sr+Esd Negro 39. Fabricado En Textil S3. Puntera De Fibra De Vidrio. Plantilla Antiperforación Textil. Suela De Pu/Pu Doble Densidad</v>
      </c>
      <c r="G119" s="24">
        <f>VLOOKUP(B119,Tabla1[],2,0)</f>
        <v>19.899999999999999</v>
      </c>
      <c r="H119" s="24">
        <f>+G119/0.72</f>
        <v>27.638888888888889</v>
      </c>
      <c r="I119" s="24">
        <f>+H119*1.21</f>
        <v>33.443055555555553</v>
      </c>
      <c r="J119" s="24" t="s">
        <v>2326</v>
      </c>
      <c r="K119" s="24" t="s">
        <v>2365</v>
      </c>
      <c r="L119" t="s">
        <v>1392</v>
      </c>
      <c r="M119" t="s">
        <v>1414</v>
      </c>
      <c r="N119" t="s">
        <v>1425</v>
      </c>
      <c r="O119" t="s">
        <v>1428</v>
      </c>
      <c r="P119" t="s">
        <v>1429</v>
      </c>
      <c r="Q119">
        <v>39</v>
      </c>
      <c r="R119" s="2">
        <v>8457780350672</v>
      </c>
      <c r="S119" s="3">
        <v>18457780350679</v>
      </c>
      <c r="T119" t="s">
        <v>2200</v>
      </c>
      <c r="U119" t="s">
        <v>2205</v>
      </c>
    </row>
    <row r="120" spans="1:21" x14ac:dyDescent="0.25">
      <c r="A120" t="s">
        <v>2199</v>
      </c>
      <c r="B120" t="s">
        <v>2224</v>
      </c>
      <c r="C120" t="s">
        <v>2181</v>
      </c>
      <c r="D120" t="s">
        <v>2182</v>
      </c>
      <c r="E120" t="str">
        <f>+CONCATENATE(D120,". FABRICADO EN ",M120,". PUNTERA DE ",N120,". PLANTILLA ",O120,". SUELA DE ",P120)</f>
        <v>BOTA S3S+CI+FO+SC+SR+ESD Negro 40. FABRICADO EN TEXTIL S3. PUNTERA DE Fibra de vidrio. PLANTILLA Antiperforación textil. SUELA DE PU/PU DOBLE DENSIDAD</v>
      </c>
      <c r="F120" t="str">
        <f>PROPER(E120)</f>
        <v>Bota S3S+Ci+Fo+Sc+Sr+Esd Negro 40. Fabricado En Textil S3. Puntera De Fibra De Vidrio. Plantilla Antiperforación Textil. Suela De Pu/Pu Doble Densidad</v>
      </c>
      <c r="G120" s="24">
        <f>VLOOKUP(B120,Tabla1[],2,0)</f>
        <v>19.899999999999999</v>
      </c>
      <c r="H120" s="24">
        <f>+G120/0.72</f>
        <v>27.638888888888889</v>
      </c>
      <c r="I120" s="24">
        <f>+H120*1.21</f>
        <v>33.443055555555553</v>
      </c>
      <c r="J120" s="24" t="s">
        <v>2326</v>
      </c>
      <c r="K120" s="24" t="s">
        <v>2365</v>
      </c>
      <c r="L120" t="s">
        <v>1392</v>
      </c>
      <c r="M120" t="s">
        <v>1414</v>
      </c>
      <c r="N120" t="s">
        <v>1425</v>
      </c>
      <c r="O120" t="s">
        <v>1428</v>
      </c>
      <c r="P120" t="s">
        <v>1429</v>
      </c>
      <c r="Q120">
        <v>40</v>
      </c>
      <c r="R120" s="2">
        <v>8457780350689</v>
      </c>
      <c r="S120" s="3">
        <v>18457780350686</v>
      </c>
      <c r="T120" t="s">
        <v>2200</v>
      </c>
      <c r="U120" t="s">
        <v>2206</v>
      </c>
    </row>
    <row r="121" spans="1:21" x14ac:dyDescent="0.25">
      <c r="A121" t="s">
        <v>2199</v>
      </c>
      <c r="B121" t="s">
        <v>2224</v>
      </c>
      <c r="C121" t="s">
        <v>2183</v>
      </c>
      <c r="D121" t="s">
        <v>2184</v>
      </c>
      <c r="E121" t="str">
        <f>+CONCATENATE(D121,". FABRICADO EN ",M121,". PUNTERA DE ",N121,". PLANTILLA ",O121,". SUELA DE ",P121)</f>
        <v>BOTA S3S+CI+FO+SC+SR+ESD Negro 41. FABRICADO EN TEXTIL S3. PUNTERA DE Fibra de vidrio. PLANTILLA Antiperforación textil. SUELA DE PU/PU DOBLE DENSIDAD</v>
      </c>
      <c r="F121" t="str">
        <f>PROPER(E121)</f>
        <v>Bota S3S+Ci+Fo+Sc+Sr+Esd Negro 41. Fabricado En Textil S3. Puntera De Fibra De Vidrio. Plantilla Antiperforación Textil. Suela De Pu/Pu Doble Densidad</v>
      </c>
      <c r="G121" s="24">
        <f>VLOOKUP(B121,Tabla1[],2,0)</f>
        <v>19.899999999999999</v>
      </c>
      <c r="H121" s="24">
        <f>+G121/0.72</f>
        <v>27.638888888888889</v>
      </c>
      <c r="I121" s="24">
        <f>+H121*1.21</f>
        <v>33.443055555555553</v>
      </c>
      <c r="J121" s="24" t="s">
        <v>2326</v>
      </c>
      <c r="K121" s="24" t="s">
        <v>2365</v>
      </c>
      <c r="L121" t="s">
        <v>1392</v>
      </c>
      <c r="M121" t="s">
        <v>1414</v>
      </c>
      <c r="N121" t="s">
        <v>1425</v>
      </c>
      <c r="O121" t="s">
        <v>1428</v>
      </c>
      <c r="P121" t="s">
        <v>1429</v>
      </c>
      <c r="Q121">
        <v>41</v>
      </c>
      <c r="R121" s="2">
        <v>8457780350696</v>
      </c>
      <c r="S121" s="3">
        <v>18457780350693</v>
      </c>
      <c r="T121" t="s">
        <v>2200</v>
      </c>
      <c r="U121" t="s">
        <v>2207</v>
      </c>
    </row>
    <row r="122" spans="1:21" x14ac:dyDescent="0.25">
      <c r="A122" t="s">
        <v>2199</v>
      </c>
      <c r="B122" t="s">
        <v>2224</v>
      </c>
      <c r="C122" t="s">
        <v>2185</v>
      </c>
      <c r="D122" t="s">
        <v>2186</v>
      </c>
      <c r="E122" t="str">
        <f>+CONCATENATE(D122,". FABRICADO EN ",M122,". PUNTERA DE ",N122,". PLANTILLA ",O122,". SUELA DE ",P122)</f>
        <v>BOTA S3S+CI+FO+SC+SR+ESD Negro 42. FABRICADO EN TEXTIL S3. PUNTERA DE Fibra de vidrio. PLANTILLA Antiperforación textil. SUELA DE PU/PU DOBLE DENSIDAD</v>
      </c>
      <c r="F122" t="str">
        <f>PROPER(E122)</f>
        <v>Bota S3S+Ci+Fo+Sc+Sr+Esd Negro 42. Fabricado En Textil S3. Puntera De Fibra De Vidrio. Plantilla Antiperforación Textil. Suela De Pu/Pu Doble Densidad</v>
      </c>
      <c r="G122" s="24">
        <f>VLOOKUP(B122,Tabla1[],2,0)</f>
        <v>19.899999999999999</v>
      </c>
      <c r="H122" s="24">
        <f>+G122/0.72</f>
        <v>27.638888888888889</v>
      </c>
      <c r="I122" s="24">
        <f>+H122*1.21</f>
        <v>33.443055555555553</v>
      </c>
      <c r="J122" s="24" t="s">
        <v>2326</v>
      </c>
      <c r="K122" s="24" t="s">
        <v>2365</v>
      </c>
      <c r="L122" t="s">
        <v>1392</v>
      </c>
      <c r="M122" t="s">
        <v>1414</v>
      </c>
      <c r="N122" t="s">
        <v>1425</v>
      </c>
      <c r="O122" t="s">
        <v>1428</v>
      </c>
      <c r="P122" t="s">
        <v>1429</v>
      </c>
      <c r="Q122">
        <v>42</v>
      </c>
      <c r="R122" s="2">
        <v>8457780350702</v>
      </c>
      <c r="S122" s="3">
        <v>18457780350709</v>
      </c>
      <c r="T122" t="s">
        <v>2200</v>
      </c>
      <c r="U122" t="s">
        <v>2208</v>
      </c>
    </row>
    <row r="123" spans="1:21" x14ac:dyDescent="0.25">
      <c r="A123" t="s">
        <v>2199</v>
      </c>
      <c r="B123" t="s">
        <v>2224</v>
      </c>
      <c r="C123" t="s">
        <v>2187</v>
      </c>
      <c r="D123" t="s">
        <v>2188</v>
      </c>
      <c r="E123" t="str">
        <f>+CONCATENATE(D123,". FABRICADO EN ",M123,". PUNTERA DE ",N123,". PLANTILLA ",O123,". SUELA DE ",P123)</f>
        <v>BOTA S3S+CI+FO+SC+SR+ESD Negro 43. FABRICADO EN TEXTIL S3. PUNTERA DE Fibra de vidrio. PLANTILLA Antiperforación textil. SUELA DE PU/PU DOBLE DENSIDAD</v>
      </c>
      <c r="F123" t="str">
        <f>PROPER(E123)</f>
        <v>Bota S3S+Ci+Fo+Sc+Sr+Esd Negro 43. Fabricado En Textil S3. Puntera De Fibra De Vidrio. Plantilla Antiperforación Textil. Suela De Pu/Pu Doble Densidad</v>
      </c>
      <c r="G123" s="24">
        <f>VLOOKUP(B123,Tabla1[],2,0)</f>
        <v>19.899999999999999</v>
      </c>
      <c r="H123" s="24">
        <f>+G123/0.72</f>
        <v>27.638888888888889</v>
      </c>
      <c r="I123" s="24">
        <f>+H123*1.21</f>
        <v>33.443055555555553</v>
      </c>
      <c r="J123" s="24" t="s">
        <v>2326</v>
      </c>
      <c r="K123" s="24" t="s">
        <v>2365</v>
      </c>
      <c r="L123" t="s">
        <v>1392</v>
      </c>
      <c r="M123" t="s">
        <v>1414</v>
      </c>
      <c r="N123" t="s">
        <v>1425</v>
      </c>
      <c r="O123" t="s">
        <v>1428</v>
      </c>
      <c r="P123" t="s">
        <v>1429</v>
      </c>
      <c r="Q123">
        <v>43</v>
      </c>
      <c r="R123" s="2">
        <v>8457780350719</v>
      </c>
      <c r="S123" s="3">
        <v>18457780350716</v>
      </c>
      <c r="T123" t="s">
        <v>2200</v>
      </c>
      <c r="U123" t="s">
        <v>2209</v>
      </c>
    </row>
    <row r="124" spans="1:21" x14ac:dyDescent="0.25">
      <c r="A124" t="s">
        <v>2199</v>
      </c>
      <c r="B124" t="s">
        <v>2224</v>
      </c>
      <c r="C124" t="s">
        <v>2189</v>
      </c>
      <c r="D124" t="s">
        <v>2190</v>
      </c>
      <c r="E124" t="str">
        <f>+CONCATENATE(D124,". FABRICADO EN ",M124,". PUNTERA DE ",N124,". PLANTILLA ",O124,". SUELA DE ",P124)</f>
        <v>BOTA S3S+CI+FO+SC+SR+ESD Negro 44. FABRICADO EN TEXTIL S3. PUNTERA DE Fibra de vidrio. PLANTILLA Antiperforación textil. SUELA DE PU/PU DOBLE DENSIDAD</v>
      </c>
      <c r="F124" t="str">
        <f>PROPER(E124)</f>
        <v>Bota S3S+Ci+Fo+Sc+Sr+Esd Negro 44. Fabricado En Textil S3. Puntera De Fibra De Vidrio. Plantilla Antiperforación Textil. Suela De Pu/Pu Doble Densidad</v>
      </c>
      <c r="G124" s="24">
        <f>VLOOKUP(B124,Tabla1[],2,0)</f>
        <v>19.899999999999999</v>
      </c>
      <c r="H124" s="24">
        <f>+G124/0.72</f>
        <v>27.638888888888889</v>
      </c>
      <c r="I124" s="24">
        <f>+H124*1.21</f>
        <v>33.443055555555553</v>
      </c>
      <c r="J124" s="24" t="s">
        <v>2326</v>
      </c>
      <c r="K124" s="24" t="s">
        <v>2365</v>
      </c>
      <c r="L124" t="s">
        <v>1392</v>
      </c>
      <c r="M124" t="s">
        <v>1414</v>
      </c>
      <c r="N124" t="s">
        <v>1425</v>
      </c>
      <c r="O124" t="s">
        <v>1428</v>
      </c>
      <c r="P124" t="s">
        <v>1429</v>
      </c>
      <c r="Q124">
        <v>44</v>
      </c>
      <c r="R124" s="2">
        <v>8457780350726</v>
      </c>
      <c r="S124" s="3">
        <v>18457780350723</v>
      </c>
      <c r="T124" t="s">
        <v>2200</v>
      </c>
      <c r="U124" t="s">
        <v>2210</v>
      </c>
    </row>
    <row r="125" spans="1:21" x14ac:dyDescent="0.25">
      <c r="A125" t="s">
        <v>2199</v>
      </c>
      <c r="B125" t="s">
        <v>2224</v>
      </c>
      <c r="C125" t="s">
        <v>2191</v>
      </c>
      <c r="D125" t="s">
        <v>2192</v>
      </c>
      <c r="E125" t="str">
        <f>+CONCATENATE(D125,". FABRICADO EN ",M125,". PUNTERA DE ",N125,". PLANTILLA ",O125,". SUELA DE ",P125)</f>
        <v>BOTA S3S+CI+FO+SC+SR+ESD Negro 45. FABRICADO EN TEXTIL S3. PUNTERA DE Fibra de vidrio. PLANTILLA Antiperforación textil. SUELA DE PU/PU DOBLE DENSIDAD</v>
      </c>
      <c r="F125" t="str">
        <f>PROPER(E125)</f>
        <v>Bota S3S+Ci+Fo+Sc+Sr+Esd Negro 45. Fabricado En Textil S3. Puntera De Fibra De Vidrio. Plantilla Antiperforación Textil. Suela De Pu/Pu Doble Densidad</v>
      </c>
      <c r="G125" s="24">
        <f>VLOOKUP(B125,Tabla1[],2,0)</f>
        <v>19.899999999999999</v>
      </c>
      <c r="H125" s="24">
        <f>+G125/0.72</f>
        <v>27.638888888888889</v>
      </c>
      <c r="I125" s="24">
        <f>+H125*1.21</f>
        <v>33.443055555555553</v>
      </c>
      <c r="J125" s="24" t="s">
        <v>2326</v>
      </c>
      <c r="K125" s="24" t="s">
        <v>2365</v>
      </c>
      <c r="L125" t="s">
        <v>1392</v>
      </c>
      <c r="M125" t="s">
        <v>1414</v>
      </c>
      <c r="N125" t="s">
        <v>1425</v>
      </c>
      <c r="O125" t="s">
        <v>1428</v>
      </c>
      <c r="P125" t="s">
        <v>1429</v>
      </c>
      <c r="Q125">
        <v>45</v>
      </c>
      <c r="R125" s="2">
        <v>8457780350733</v>
      </c>
      <c r="S125" s="3">
        <v>18457780350730</v>
      </c>
      <c r="T125" t="s">
        <v>2200</v>
      </c>
      <c r="U125" t="s">
        <v>2211</v>
      </c>
    </row>
    <row r="126" spans="1:21" x14ac:dyDescent="0.25">
      <c r="A126" t="s">
        <v>2199</v>
      </c>
      <c r="B126" t="s">
        <v>2224</v>
      </c>
      <c r="C126" t="s">
        <v>2193</v>
      </c>
      <c r="D126" t="s">
        <v>2194</v>
      </c>
      <c r="E126" t="str">
        <f>+CONCATENATE(D126,". FABRICADO EN ",M126,". PUNTERA DE ",N126,". PLANTILLA ",O126,". SUELA DE ",P126)</f>
        <v>BOTA S3S+CI+FO+SC+SR+ESD Negro 46. FABRICADO EN TEXTIL S3. PUNTERA DE Fibra de vidrio. PLANTILLA Antiperforación textil. SUELA DE PU/PU DOBLE DENSIDAD</v>
      </c>
      <c r="F126" t="str">
        <f>PROPER(E126)</f>
        <v>Bota S3S+Ci+Fo+Sc+Sr+Esd Negro 46. Fabricado En Textil S3. Puntera De Fibra De Vidrio. Plantilla Antiperforación Textil. Suela De Pu/Pu Doble Densidad</v>
      </c>
      <c r="G126" s="24">
        <f>VLOOKUP(B126,Tabla1[],2,0)</f>
        <v>19.899999999999999</v>
      </c>
      <c r="H126" s="24">
        <f>+G126/0.72</f>
        <v>27.638888888888889</v>
      </c>
      <c r="I126" s="24">
        <f>+H126*1.21</f>
        <v>33.443055555555553</v>
      </c>
      <c r="J126" s="24" t="s">
        <v>2326</v>
      </c>
      <c r="K126" s="24" t="s">
        <v>2365</v>
      </c>
      <c r="L126" t="s">
        <v>1392</v>
      </c>
      <c r="M126" t="s">
        <v>1414</v>
      </c>
      <c r="N126" t="s">
        <v>1425</v>
      </c>
      <c r="O126" t="s">
        <v>1428</v>
      </c>
      <c r="P126" t="s">
        <v>1429</v>
      </c>
      <c r="Q126">
        <v>46</v>
      </c>
      <c r="R126" s="2">
        <v>8457780350740</v>
      </c>
      <c r="S126" s="3">
        <v>18457780350747</v>
      </c>
      <c r="T126" t="s">
        <v>2200</v>
      </c>
      <c r="U126" t="s">
        <v>2212</v>
      </c>
    </row>
    <row r="127" spans="1:21" x14ac:dyDescent="0.25">
      <c r="A127" t="s">
        <v>2199</v>
      </c>
      <c r="B127" t="s">
        <v>2224</v>
      </c>
      <c r="C127" t="s">
        <v>2195</v>
      </c>
      <c r="D127" t="s">
        <v>2196</v>
      </c>
      <c r="E127" t="str">
        <f>+CONCATENATE(D127,". FABRICADO EN ",M127,". PUNTERA DE ",N127,". PLANTILLA ",O127,". SUELA DE ",P127)</f>
        <v>BOTA S3S+CI+FO+SC+SR+ESD Negro 47. FABRICADO EN TEXTIL S3. PUNTERA DE Fibra de vidrio. PLANTILLA Antiperforación textil. SUELA DE PU/PU DOBLE DENSIDAD</v>
      </c>
      <c r="F127" t="str">
        <f>PROPER(E127)</f>
        <v>Bota S3S+Ci+Fo+Sc+Sr+Esd Negro 47. Fabricado En Textil S3. Puntera De Fibra De Vidrio. Plantilla Antiperforación Textil. Suela De Pu/Pu Doble Densidad</v>
      </c>
      <c r="G127" s="24">
        <f>VLOOKUP(B127,Tabla1[],2,0)</f>
        <v>19.899999999999999</v>
      </c>
      <c r="H127" s="24">
        <f>+G127/0.72</f>
        <v>27.638888888888889</v>
      </c>
      <c r="I127" s="24">
        <f>+H127*1.21</f>
        <v>33.443055555555553</v>
      </c>
      <c r="J127" s="24" t="s">
        <v>2326</v>
      </c>
      <c r="K127" s="24" t="s">
        <v>2365</v>
      </c>
      <c r="L127" t="s">
        <v>1392</v>
      </c>
      <c r="M127" t="s">
        <v>1414</v>
      </c>
      <c r="N127" t="s">
        <v>1425</v>
      </c>
      <c r="O127" t="s">
        <v>1428</v>
      </c>
      <c r="P127" t="s">
        <v>1429</v>
      </c>
      <c r="Q127">
        <v>47</v>
      </c>
      <c r="R127" s="2">
        <v>8457780350757</v>
      </c>
      <c r="S127" s="3">
        <v>18457780350754</v>
      </c>
      <c r="T127" t="s">
        <v>2200</v>
      </c>
      <c r="U127" t="s">
        <v>2213</v>
      </c>
    </row>
    <row r="128" spans="1:21" x14ac:dyDescent="0.25">
      <c r="A128" t="s">
        <v>2199</v>
      </c>
      <c r="B128" t="s">
        <v>2224</v>
      </c>
      <c r="C128" t="s">
        <v>2197</v>
      </c>
      <c r="D128" t="s">
        <v>2198</v>
      </c>
      <c r="E128" t="str">
        <f>+CONCATENATE(D128,". FABRICADO EN ",M128,". PUNTERA DE ",N128,". PLANTILLA ",O128,". SUELA DE ",P128)</f>
        <v>BOTA S3S+CI+FO+SC+SR+ESD Negro 48. FABRICADO EN TEXTIL S3. PUNTERA DE Fibra de vidrio. PLANTILLA Antiperforación textil. SUELA DE PU/PU DOBLE DENSIDAD</v>
      </c>
      <c r="F128" t="str">
        <f>PROPER(E128)</f>
        <v>Bota S3S+Ci+Fo+Sc+Sr+Esd Negro 48. Fabricado En Textil S3. Puntera De Fibra De Vidrio. Plantilla Antiperforación Textil. Suela De Pu/Pu Doble Densidad</v>
      </c>
      <c r="G128" s="24">
        <f>VLOOKUP(B128,Tabla1[],2,0)</f>
        <v>19.899999999999999</v>
      </c>
      <c r="H128" s="24">
        <f>+G128/0.72</f>
        <v>27.638888888888889</v>
      </c>
      <c r="I128" s="24">
        <f>+H128*1.21</f>
        <v>33.443055555555553</v>
      </c>
      <c r="J128" s="24" t="s">
        <v>2326</v>
      </c>
      <c r="K128" s="24" t="s">
        <v>2365</v>
      </c>
      <c r="L128" t="s">
        <v>1392</v>
      </c>
      <c r="M128" t="s">
        <v>1414</v>
      </c>
      <c r="N128" t="s">
        <v>1425</v>
      </c>
      <c r="O128" t="s">
        <v>1428</v>
      </c>
      <c r="P128" t="s">
        <v>1429</v>
      </c>
      <c r="Q128">
        <v>48</v>
      </c>
      <c r="R128" s="2">
        <v>8457780350764</v>
      </c>
      <c r="S128" s="3">
        <v>18457780350761</v>
      </c>
      <c r="T128" t="s">
        <v>2200</v>
      </c>
      <c r="U128" t="s">
        <v>2214</v>
      </c>
    </row>
    <row r="129" spans="1:21" x14ac:dyDescent="0.25">
      <c r="A129" t="s">
        <v>123</v>
      </c>
      <c r="B129" t="s">
        <v>2225</v>
      </c>
      <c r="C129" t="s">
        <v>124</v>
      </c>
      <c r="D129" t="s">
        <v>1543</v>
      </c>
      <c r="E129" t="str">
        <f>+CONCATENATE(D129,". FABRICADO EN ",M129,". PUNTERA DE ",N129,". PLANTILLA ",O129,". SUELA DE ",P129)</f>
        <v>ZAPATO SERRAJE S1+P+CI+SRC+ESD Camel 35. FABRICADO EN PIEL SERRAJE + REJILLA. PUNTERA DE Fibra de vidrio. PLANTILLA Antiperforación textil. SUELA DE PU/PU DOBLE DENSIDAD</v>
      </c>
      <c r="F129" t="str">
        <f>PROPER(E129)</f>
        <v>Zapato Serraje S1+P+Ci+Src+Esd Camel 35. Fabricado En Piel Serraje + Rejilla. Puntera De Fibra De Vidrio. Plantilla Antiperforación Textil. Suela De Pu/Pu Doble Densidad</v>
      </c>
      <c r="G129" s="24">
        <f>VLOOKUP(B129,Tabla1[],2,0)</f>
        <v>23.3</v>
      </c>
      <c r="H129" s="24">
        <f>+G129/0.72</f>
        <v>32.361111111111114</v>
      </c>
      <c r="I129" s="24">
        <f>+H129*1.21</f>
        <v>39.156944444444449</v>
      </c>
      <c r="J129" s="24" t="s">
        <v>2359</v>
      </c>
      <c r="K129" s="24" t="s">
        <v>2371</v>
      </c>
      <c r="L129" t="s">
        <v>1403</v>
      </c>
      <c r="M129" t="s">
        <v>1420</v>
      </c>
      <c r="N129" t="s">
        <v>1425</v>
      </c>
      <c r="O129" t="s">
        <v>1428</v>
      </c>
      <c r="P129" t="s">
        <v>1429</v>
      </c>
      <c r="Q129">
        <v>35</v>
      </c>
      <c r="R129" s="2">
        <v>8457780312267</v>
      </c>
      <c r="S129" s="3" t="s">
        <v>795</v>
      </c>
      <c r="T129" t="s">
        <v>1319</v>
      </c>
      <c r="U129" t="s">
        <v>1320</v>
      </c>
    </row>
    <row r="130" spans="1:21" x14ac:dyDescent="0.25">
      <c r="A130" t="s">
        <v>123</v>
      </c>
      <c r="B130" t="s">
        <v>2225</v>
      </c>
      <c r="C130" t="s">
        <v>125</v>
      </c>
      <c r="D130" t="s">
        <v>1544</v>
      </c>
      <c r="E130" t="str">
        <f>+CONCATENATE(D130,". FABRICADO EN ",M130,". PUNTERA DE ",N130,". PLANTILLA ",O130,". SUELA DE ",P130)</f>
        <v>ZAPATO SERRAJE S1+P+CI+SRC+ESD Camel 36. FABRICADO EN PIEL SERRAJE + REJILLA. PUNTERA DE Fibra de vidrio. PLANTILLA Antiperforación textil. SUELA DE PU/PU DOBLE DENSIDAD</v>
      </c>
      <c r="F130" t="str">
        <f>PROPER(E130)</f>
        <v>Zapato Serraje S1+P+Ci+Src+Esd Camel 36. Fabricado En Piel Serraje + Rejilla. Puntera De Fibra De Vidrio. Plantilla Antiperforación Textil. Suela De Pu/Pu Doble Densidad</v>
      </c>
      <c r="G130" s="24">
        <f>VLOOKUP(B130,Tabla1[],2,0)</f>
        <v>23.3</v>
      </c>
      <c r="H130" s="24">
        <f>+G130/0.72</f>
        <v>32.361111111111114</v>
      </c>
      <c r="I130" s="24">
        <f>+H130*1.21</f>
        <v>39.156944444444449</v>
      </c>
      <c r="J130" s="24" t="s">
        <v>2359</v>
      </c>
      <c r="K130" s="24" t="s">
        <v>2371</v>
      </c>
      <c r="L130" t="s">
        <v>2</v>
      </c>
      <c r="M130" t="s">
        <v>1420</v>
      </c>
      <c r="N130" t="s">
        <v>1425</v>
      </c>
      <c r="O130" t="s">
        <v>1428</v>
      </c>
      <c r="P130" t="s">
        <v>1429</v>
      </c>
      <c r="Q130">
        <v>36</v>
      </c>
      <c r="R130" s="2">
        <v>8457780312274</v>
      </c>
      <c r="S130" s="3" t="s">
        <v>796</v>
      </c>
      <c r="T130" t="s">
        <v>1319</v>
      </c>
      <c r="U130" t="s">
        <v>1320</v>
      </c>
    </row>
    <row r="131" spans="1:21" x14ac:dyDescent="0.25">
      <c r="A131" t="s">
        <v>123</v>
      </c>
      <c r="B131" t="s">
        <v>2225</v>
      </c>
      <c r="C131" t="s">
        <v>126</v>
      </c>
      <c r="D131" t="s">
        <v>1545</v>
      </c>
      <c r="E131" t="str">
        <f>+CONCATENATE(D131,". FABRICADO EN ",M131,". PUNTERA DE ",N131,". PLANTILLA ",O131,". SUELA DE ",P131)</f>
        <v>ZAPATO SERRAJE S1+P+CI+SRC+ESD Camel 37. FABRICADO EN PIEL SERRAJE + REJILLA. PUNTERA DE Fibra de vidrio. PLANTILLA Antiperforación textil. SUELA DE PU/PU DOBLE DENSIDAD</v>
      </c>
      <c r="F131" t="str">
        <f>PROPER(E131)</f>
        <v>Zapato Serraje S1+P+Ci+Src+Esd Camel 37. Fabricado En Piel Serraje + Rejilla. Puntera De Fibra De Vidrio. Plantilla Antiperforación Textil. Suela De Pu/Pu Doble Densidad</v>
      </c>
      <c r="G131" s="24">
        <f>VLOOKUP(B131,Tabla1[],2,0)</f>
        <v>23.3</v>
      </c>
      <c r="H131" s="24">
        <f>+G131/0.72</f>
        <v>32.361111111111114</v>
      </c>
      <c r="I131" s="24">
        <f>+H131*1.21</f>
        <v>39.156944444444449</v>
      </c>
      <c r="J131" s="24" t="s">
        <v>2359</v>
      </c>
      <c r="K131" s="24" t="s">
        <v>2371</v>
      </c>
      <c r="L131" t="s">
        <v>2</v>
      </c>
      <c r="M131" t="s">
        <v>1420</v>
      </c>
      <c r="N131" t="s">
        <v>1425</v>
      </c>
      <c r="O131" t="s">
        <v>1428</v>
      </c>
      <c r="P131" t="s">
        <v>1429</v>
      </c>
      <c r="Q131">
        <v>37</v>
      </c>
      <c r="R131" s="2">
        <v>8457780312281</v>
      </c>
      <c r="S131" s="3" t="s">
        <v>797</v>
      </c>
      <c r="T131" t="s">
        <v>1319</v>
      </c>
      <c r="U131" t="s">
        <v>1320</v>
      </c>
    </row>
    <row r="132" spans="1:21" x14ac:dyDescent="0.25">
      <c r="A132" t="s">
        <v>123</v>
      </c>
      <c r="B132" t="s">
        <v>2225</v>
      </c>
      <c r="C132" t="s">
        <v>127</v>
      </c>
      <c r="D132" t="s">
        <v>1546</v>
      </c>
      <c r="E132" t="str">
        <f>+CONCATENATE(D132,". FABRICADO EN ",M132,". PUNTERA DE ",N132,". PLANTILLA ",O132,". SUELA DE ",P132)</f>
        <v>ZAPATO SERRAJE S1+P+CI+SRC+ESD Camel 38. FABRICADO EN PIEL SERRAJE + REJILLA. PUNTERA DE Fibra de vidrio. PLANTILLA Antiperforación textil. SUELA DE PU/PU DOBLE DENSIDAD</v>
      </c>
      <c r="F132" t="str">
        <f>PROPER(E132)</f>
        <v>Zapato Serraje S1+P+Ci+Src+Esd Camel 38. Fabricado En Piel Serraje + Rejilla. Puntera De Fibra De Vidrio. Plantilla Antiperforación Textil. Suela De Pu/Pu Doble Densidad</v>
      </c>
      <c r="G132" s="24">
        <f>VLOOKUP(B132,Tabla1[],2,0)</f>
        <v>23.3</v>
      </c>
      <c r="H132" s="24">
        <f>+G132/0.72</f>
        <v>32.361111111111114</v>
      </c>
      <c r="I132" s="24">
        <f>+H132*1.21</f>
        <v>39.156944444444449</v>
      </c>
      <c r="J132" s="24" t="s">
        <v>2359</v>
      </c>
      <c r="K132" s="24" t="s">
        <v>2371</v>
      </c>
      <c r="L132" t="s">
        <v>2</v>
      </c>
      <c r="M132" t="s">
        <v>1420</v>
      </c>
      <c r="N132" t="s">
        <v>1425</v>
      </c>
      <c r="O132" t="s">
        <v>1428</v>
      </c>
      <c r="P132" t="s">
        <v>1429</v>
      </c>
      <c r="Q132">
        <v>38</v>
      </c>
      <c r="R132" s="2">
        <v>8457780312298</v>
      </c>
      <c r="S132" s="3" t="s">
        <v>798</v>
      </c>
      <c r="T132" t="s">
        <v>1319</v>
      </c>
      <c r="U132" t="s">
        <v>1320</v>
      </c>
    </row>
    <row r="133" spans="1:21" x14ac:dyDescent="0.25">
      <c r="A133" t="s">
        <v>123</v>
      </c>
      <c r="B133" t="s">
        <v>2225</v>
      </c>
      <c r="C133" t="s">
        <v>128</v>
      </c>
      <c r="D133" t="s">
        <v>1547</v>
      </c>
      <c r="E133" t="str">
        <f>+CONCATENATE(D133,". FABRICADO EN ",M133,". PUNTERA DE ",N133,". PLANTILLA ",O133,". SUELA DE ",P133)</f>
        <v>ZAPATO SERRAJE S1+P+CI+SRC+ESD Camel 39. FABRICADO EN PIEL SERRAJE + REJILLA. PUNTERA DE Fibra de vidrio. PLANTILLA Antiperforación textil. SUELA DE PU/PU DOBLE DENSIDAD</v>
      </c>
      <c r="F133" t="str">
        <f>PROPER(E133)</f>
        <v>Zapato Serraje S1+P+Ci+Src+Esd Camel 39. Fabricado En Piel Serraje + Rejilla. Puntera De Fibra De Vidrio. Plantilla Antiperforación Textil. Suela De Pu/Pu Doble Densidad</v>
      </c>
      <c r="G133" s="24">
        <f>VLOOKUP(B133,Tabla1[],2,0)</f>
        <v>23.3</v>
      </c>
      <c r="H133" s="24">
        <f>+G133/0.72</f>
        <v>32.361111111111114</v>
      </c>
      <c r="I133" s="24">
        <f>+H133*1.21</f>
        <v>39.156944444444449</v>
      </c>
      <c r="J133" s="24" t="s">
        <v>2359</v>
      </c>
      <c r="K133" s="24" t="s">
        <v>2371</v>
      </c>
      <c r="L133" t="s">
        <v>2</v>
      </c>
      <c r="M133" t="s">
        <v>1420</v>
      </c>
      <c r="N133" t="s">
        <v>1425</v>
      </c>
      <c r="O133" t="s">
        <v>1428</v>
      </c>
      <c r="P133" t="s">
        <v>1429</v>
      </c>
      <c r="Q133">
        <v>39</v>
      </c>
      <c r="R133" s="2">
        <v>8457780312304</v>
      </c>
      <c r="S133" s="3" t="s">
        <v>799</v>
      </c>
      <c r="T133" t="s">
        <v>1319</v>
      </c>
      <c r="U133" t="s">
        <v>1320</v>
      </c>
    </row>
    <row r="134" spans="1:21" x14ac:dyDescent="0.25">
      <c r="A134" t="s">
        <v>123</v>
      </c>
      <c r="B134" t="s">
        <v>2225</v>
      </c>
      <c r="C134" t="s">
        <v>129</v>
      </c>
      <c r="D134" t="s">
        <v>1548</v>
      </c>
      <c r="E134" t="str">
        <f>+CONCATENATE(D134,". FABRICADO EN ",M134,". PUNTERA DE ",N134,". PLANTILLA ",O134,". SUELA DE ",P134)</f>
        <v>ZAPATO SERRAJE S1+P+CI+SRC+ESD Camel 40. FABRICADO EN PIEL SERRAJE + REJILLA. PUNTERA DE Fibra de vidrio. PLANTILLA Antiperforación textil. SUELA DE PU/PU DOBLE DENSIDAD</v>
      </c>
      <c r="F134" t="str">
        <f>PROPER(E134)</f>
        <v>Zapato Serraje S1+P+Ci+Src+Esd Camel 40. Fabricado En Piel Serraje + Rejilla. Puntera De Fibra De Vidrio. Plantilla Antiperforación Textil. Suela De Pu/Pu Doble Densidad</v>
      </c>
      <c r="G134" s="24">
        <f>VLOOKUP(B134,Tabla1[],2,0)</f>
        <v>23.3</v>
      </c>
      <c r="H134" s="24">
        <f>+G134/0.72</f>
        <v>32.361111111111114</v>
      </c>
      <c r="I134" s="24">
        <f>+H134*1.21</f>
        <v>39.156944444444449</v>
      </c>
      <c r="J134" s="24" t="s">
        <v>2359</v>
      </c>
      <c r="K134" s="24" t="s">
        <v>2371</v>
      </c>
      <c r="L134" t="s">
        <v>2</v>
      </c>
      <c r="M134" t="s">
        <v>1420</v>
      </c>
      <c r="N134" t="s">
        <v>1425</v>
      </c>
      <c r="O134" t="s">
        <v>1428</v>
      </c>
      <c r="P134" t="s">
        <v>1429</v>
      </c>
      <c r="Q134">
        <v>40</v>
      </c>
      <c r="R134" s="2">
        <v>8457780312311</v>
      </c>
      <c r="S134" s="3" t="s">
        <v>800</v>
      </c>
      <c r="T134" t="s">
        <v>1319</v>
      </c>
      <c r="U134" t="s">
        <v>1320</v>
      </c>
    </row>
    <row r="135" spans="1:21" x14ac:dyDescent="0.25">
      <c r="A135" t="s">
        <v>123</v>
      </c>
      <c r="B135" t="s">
        <v>2225</v>
      </c>
      <c r="C135" t="s">
        <v>130</v>
      </c>
      <c r="D135" t="s">
        <v>1549</v>
      </c>
      <c r="E135" t="str">
        <f>+CONCATENATE(D135,". FABRICADO EN ",M135,". PUNTERA DE ",N135,". PLANTILLA ",O135,". SUELA DE ",P135)</f>
        <v>ZAPATO SERRAJE S1+P+CI+SRC+ESD Camel 41. FABRICADO EN PIEL SERRAJE + REJILLA. PUNTERA DE Fibra de vidrio. PLANTILLA Antiperforación textil. SUELA DE PU/PU DOBLE DENSIDAD</v>
      </c>
      <c r="F135" t="str">
        <f>PROPER(E135)</f>
        <v>Zapato Serraje S1+P+Ci+Src+Esd Camel 41. Fabricado En Piel Serraje + Rejilla. Puntera De Fibra De Vidrio. Plantilla Antiperforación Textil. Suela De Pu/Pu Doble Densidad</v>
      </c>
      <c r="G135" s="24">
        <f>VLOOKUP(B135,Tabla1[],2,0)</f>
        <v>23.3</v>
      </c>
      <c r="H135" s="24">
        <f>+G135/0.72</f>
        <v>32.361111111111114</v>
      </c>
      <c r="I135" s="24">
        <f>+H135*1.21</f>
        <v>39.156944444444449</v>
      </c>
      <c r="J135" s="24" t="s">
        <v>2359</v>
      </c>
      <c r="K135" s="24" t="s">
        <v>2371</v>
      </c>
      <c r="L135" t="s">
        <v>2</v>
      </c>
      <c r="M135" t="s">
        <v>1420</v>
      </c>
      <c r="N135" t="s">
        <v>1425</v>
      </c>
      <c r="O135" t="s">
        <v>1428</v>
      </c>
      <c r="P135" t="s">
        <v>1429</v>
      </c>
      <c r="Q135">
        <v>41</v>
      </c>
      <c r="R135" s="2">
        <v>8457780312328</v>
      </c>
      <c r="S135" s="3" t="s">
        <v>801</v>
      </c>
      <c r="T135" t="s">
        <v>1319</v>
      </c>
      <c r="U135" t="s">
        <v>1320</v>
      </c>
    </row>
    <row r="136" spans="1:21" x14ac:dyDescent="0.25">
      <c r="A136" t="s">
        <v>123</v>
      </c>
      <c r="B136" t="s">
        <v>2225</v>
      </c>
      <c r="C136" t="s">
        <v>131</v>
      </c>
      <c r="D136" t="s">
        <v>1550</v>
      </c>
      <c r="E136" t="str">
        <f>+CONCATENATE(D136,". FABRICADO EN ",M136,". PUNTERA DE ",N136,". PLANTILLA ",O136,". SUELA DE ",P136)</f>
        <v>ZAPATO SERRAJE S1+P+CI+SRC+ESD Camel 42. FABRICADO EN PIEL SERRAJE + REJILLA. PUNTERA DE Fibra de vidrio. PLANTILLA Antiperforación textil. SUELA DE PU/PU DOBLE DENSIDAD</v>
      </c>
      <c r="F136" t="str">
        <f>PROPER(E136)</f>
        <v>Zapato Serraje S1+P+Ci+Src+Esd Camel 42. Fabricado En Piel Serraje + Rejilla. Puntera De Fibra De Vidrio. Plantilla Antiperforación Textil. Suela De Pu/Pu Doble Densidad</v>
      </c>
      <c r="G136" s="24">
        <f>VLOOKUP(B136,Tabla1[],2,0)</f>
        <v>23.3</v>
      </c>
      <c r="H136" s="24">
        <f>+G136/0.72</f>
        <v>32.361111111111114</v>
      </c>
      <c r="I136" s="24">
        <f>+H136*1.21</f>
        <v>39.156944444444449</v>
      </c>
      <c r="J136" s="24" t="s">
        <v>2359</v>
      </c>
      <c r="K136" s="24" t="s">
        <v>2371</v>
      </c>
      <c r="L136" t="s">
        <v>2</v>
      </c>
      <c r="M136" t="s">
        <v>1420</v>
      </c>
      <c r="N136" t="s">
        <v>1425</v>
      </c>
      <c r="O136" t="s">
        <v>1428</v>
      </c>
      <c r="P136" t="s">
        <v>1429</v>
      </c>
      <c r="Q136">
        <v>42</v>
      </c>
      <c r="R136" s="2">
        <v>8457780312335</v>
      </c>
      <c r="S136" s="3" t="s">
        <v>802</v>
      </c>
      <c r="T136" t="s">
        <v>1319</v>
      </c>
      <c r="U136" t="s">
        <v>1320</v>
      </c>
    </row>
    <row r="137" spans="1:21" x14ac:dyDescent="0.25">
      <c r="A137" t="s">
        <v>123</v>
      </c>
      <c r="B137" t="s">
        <v>2225</v>
      </c>
      <c r="C137" t="s">
        <v>132</v>
      </c>
      <c r="D137" t="s">
        <v>1551</v>
      </c>
      <c r="E137" t="str">
        <f>+CONCATENATE(D137,". FABRICADO EN ",M137,". PUNTERA DE ",N137,". PLANTILLA ",O137,". SUELA DE ",P137)</f>
        <v>ZAPATO SERRAJE S1+P+CI+SRC+ESD Camel 43. FABRICADO EN PIEL SERRAJE + REJILLA. PUNTERA DE Fibra de vidrio. PLANTILLA Antiperforación textil. SUELA DE PU/PU DOBLE DENSIDAD</v>
      </c>
      <c r="F137" t="str">
        <f>PROPER(E137)</f>
        <v>Zapato Serraje S1+P+Ci+Src+Esd Camel 43. Fabricado En Piel Serraje + Rejilla. Puntera De Fibra De Vidrio. Plantilla Antiperforación Textil. Suela De Pu/Pu Doble Densidad</v>
      </c>
      <c r="G137" s="24">
        <f>VLOOKUP(B137,Tabla1[],2,0)</f>
        <v>23.3</v>
      </c>
      <c r="H137" s="24">
        <f>+G137/0.72</f>
        <v>32.361111111111114</v>
      </c>
      <c r="I137" s="24">
        <f>+H137*1.21</f>
        <v>39.156944444444449</v>
      </c>
      <c r="J137" s="24" t="s">
        <v>2359</v>
      </c>
      <c r="K137" s="24" t="s">
        <v>2371</v>
      </c>
      <c r="L137" t="s">
        <v>2</v>
      </c>
      <c r="M137" t="s">
        <v>1420</v>
      </c>
      <c r="N137" t="s">
        <v>1425</v>
      </c>
      <c r="O137" t="s">
        <v>1428</v>
      </c>
      <c r="P137" t="s">
        <v>1429</v>
      </c>
      <c r="Q137">
        <v>43</v>
      </c>
      <c r="R137" s="2">
        <v>8457780312342</v>
      </c>
      <c r="S137" s="3" t="s">
        <v>803</v>
      </c>
      <c r="T137" t="s">
        <v>1319</v>
      </c>
      <c r="U137" t="s">
        <v>1320</v>
      </c>
    </row>
    <row r="138" spans="1:21" x14ac:dyDescent="0.25">
      <c r="A138" t="s">
        <v>123</v>
      </c>
      <c r="B138" t="s">
        <v>2225</v>
      </c>
      <c r="C138" t="s">
        <v>133</v>
      </c>
      <c r="D138" t="s">
        <v>1552</v>
      </c>
      <c r="E138" t="str">
        <f>+CONCATENATE(D138,". FABRICADO EN ",M138,". PUNTERA DE ",N138,". PLANTILLA ",O138,". SUELA DE ",P138)</f>
        <v>ZAPATO SERRAJE S1+P+CI+SRC+ESD Camel 44. FABRICADO EN PIEL SERRAJE + REJILLA. PUNTERA DE Fibra de vidrio. PLANTILLA Antiperforación textil. SUELA DE PU/PU DOBLE DENSIDAD</v>
      </c>
      <c r="F138" t="str">
        <f>PROPER(E138)</f>
        <v>Zapato Serraje S1+P+Ci+Src+Esd Camel 44. Fabricado En Piel Serraje + Rejilla. Puntera De Fibra De Vidrio. Plantilla Antiperforación Textil. Suela De Pu/Pu Doble Densidad</v>
      </c>
      <c r="G138" s="24">
        <f>VLOOKUP(B138,Tabla1[],2,0)</f>
        <v>23.3</v>
      </c>
      <c r="H138" s="24">
        <f>+G138/0.72</f>
        <v>32.361111111111114</v>
      </c>
      <c r="I138" s="24">
        <f>+H138*1.21</f>
        <v>39.156944444444449</v>
      </c>
      <c r="J138" s="24" t="s">
        <v>2359</v>
      </c>
      <c r="K138" s="24" t="s">
        <v>2371</v>
      </c>
      <c r="L138" t="s">
        <v>2</v>
      </c>
      <c r="M138" t="s">
        <v>1420</v>
      </c>
      <c r="N138" t="s">
        <v>1425</v>
      </c>
      <c r="O138" t="s">
        <v>1428</v>
      </c>
      <c r="P138" t="s">
        <v>1429</v>
      </c>
      <c r="Q138">
        <v>44</v>
      </c>
      <c r="R138" s="2">
        <v>8457780312359</v>
      </c>
      <c r="S138" s="3" t="s">
        <v>804</v>
      </c>
      <c r="T138" t="s">
        <v>1319</v>
      </c>
      <c r="U138" t="s">
        <v>1320</v>
      </c>
    </row>
    <row r="139" spans="1:21" x14ac:dyDescent="0.25">
      <c r="A139" t="s">
        <v>123</v>
      </c>
      <c r="B139" t="s">
        <v>2225</v>
      </c>
      <c r="C139" t="s">
        <v>134</v>
      </c>
      <c r="D139" t="s">
        <v>1553</v>
      </c>
      <c r="E139" t="str">
        <f>+CONCATENATE(D139,". FABRICADO EN ",M139,". PUNTERA DE ",N139,". PLANTILLA ",O139,". SUELA DE ",P139)</f>
        <v>ZAPATO SERRAJE S1+P+CI+SRC+ESD Camel 45. FABRICADO EN PIEL SERRAJE + REJILLA. PUNTERA DE Fibra de vidrio. PLANTILLA Antiperforación textil. SUELA DE PU/PU DOBLE DENSIDAD</v>
      </c>
      <c r="F139" t="str">
        <f>PROPER(E139)</f>
        <v>Zapato Serraje S1+P+Ci+Src+Esd Camel 45. Fabricado En Piel Serraje + Rejilla. Puntera De Fibra De Vidrio. Plantilla Antiperforación Textil. Suela De Pu/Pu Doble Densidad</v>
      </c>
      <c r="G139" s="24">
        <f>VLOOKUP(B139,Tabla1[],2,0)</f>
        <v>23.3</v>
      </c>
      <c r="H139" s="24">
        <f>+G139/0.72</f>
        <v>32.361111111111114</v>
      </c>
      <c r="I139" s="24">
        <f>+H139*1.21</f>
        <v>39.156944444444449</v>
      </c>
      <c r="J139" s="24" t="s">
        <v>2359</v>
      </c>
      <c r="K139" s="24" t="s">
        <v>2371</v>
      </c>
      <c r="L139" t="s">
        <v>2</v>
      </c>
      <c r="M139" t="s">
        <v>1420</v>
      </c>
      <c r="N139" t="s">
        <v>1425</v>
      </c>
      <c r="O139" t="s">
        <v>1428</v>
      </c>
      <c r="P139" t="s">
        <v>1429</v>
      </c>
      <c r="Q139">
        <v>45</v>
      </c>
      <c r="R139" s="2">
        <v>8457780312366</v>
      </c>
      <c r="S139" s="3" t="s">
        <v>805</v>
      </c>
      <c r="T139" t="s">
        <v>1319</v>
      </c>
      <c r="U139" t="s">
        <v>1320</v>
      </c>
    </row>
    <row r="140" spans="1:21" x14ac:dyDescent="0.25">
      <c r="A140" t="s">
        <v>123</v>
      </c>
      <c r="B140" t="s">
        <v>2225</v>
      </c>
      <c r="C140" t="s">
        <v>135</v>
      </c>
      <c r="D140" t="s">
        <v>1554</v>
      </c>
      <c r="E140" t="str">
        <f>+CONCATENATE(D140,". FABRICADO EN ",M140,". PUNTERA DE ",N140,". PLANTILLA ",O140,". SUELA DE ",P140)</f>
        <v>ZAPATO SERRAJE S1+P+CI+SRC+ESD Camel 46. FABRICADO EN PIEL SERRAJE + REJILLA. PUNTERA DE Fibra de vidrio. PLANTILLA Antiperforación textil. SUELA DE PU/PU DOBLE DENSIDAD</v>
      </c>
      <c r="F140" t="str">
        <f>PROPER(E140)</f>
        <v>Zapato Serraje S1+P+Ci+Src+Esd Camel 46. Fabricado En Piel Serraje + Rejilla. Puntera De Fibra De Vidrio. Plantilla Antiperforación Textil. Suela De Pu/Pu Doble Densidad</v>
      </c>
      <c r="G140" s="24">
        <f>VLOOKUP(B140,Tabla1[],2,0)</f>
        <v>23.3</v>
      </c>
      <c r="H140" s="24">
        <f>+G140/0.72</f>
        <v>32.361111111111114</v>
      </c>
      <c r="I140" s="24">
        <f>+H140*1.21</f>
        <v>39.156944444444449</v>
      </c>
      <c r="J140" s="24" t="s">
        <v>2359</v>
      </c>
      <c r="K140" s="24" t="s">
        <v>2371</v>
      </c>
      <c r="L140" t="s">
        <v>2</v>
      </c>
      <c r="M140" t="s">
        <v>1420</v>
      </c>
      <c r="N140" t="s">
        <v>1425</v>
      </c>
      <c r="O140" t="s">
        <v>1428</v>
      </c>
      <c r="P140" t="s">
        <v>1429</v>
      </c>
      <c r="Q140">
        <v>46</v>
      </c>
      <c r="R140" s="2">
        <v>8457780312373</v>
      </c>
      <c r="S140" s="3" t="s">
        <v>806</v>
      </c>
      <c r="T140" t="s">
        <v>1319</v>
      </c>
      <c r="U140" t="s">
        <v>1320</v>
      </c>
    </row>
    <row r="141" spans="1:21" x14ac:dyDescent="0.25">
      <c r="A141" t="s">
        <v>123</v>
      </c>
      <c r="B141" t="s">
        <v>2225</v>
      </c>
      <c r="C141" t="s">
        <v>136</v>
      </c>
      <c r="D141" t="s">
        <v>1555</v>
      </c>
      <c r="E141" t="str">
        <f>+CONCATENATE(D141,". FABRICADO EN ",M141,". PUNTERA DE ",N141,". PLANTILLA ",O141,". SUELA DE ",P141)</f>
        <v>ZAPATO SERRAJE S1+P+CI+SRC+ESD Camel 47. FABRICADO EN PIEL SERRAJE + REJILLA. PUNTERA DE Fibra de vidrio. PLANTILLA Antiperforación textil. SUELA DE PU/PU DOBLE DENSIDAD</v>
      </c>
      <c r="F141" t="str">
        <f>PROPER(E141)</f>
        <v>Zapato Serraje S1+P+Ci+Src+Esd Camel 47. Fabricado En Piel Serraje + Rejilla. Puntera De Fibra De Vidrio. Plantilla Antiperforación Textil. Suela De Pu/Pu Doble Densidad</v>
      </c>
      <c r="G141" s="24">
        <f>VLOOKUP(B141,Tabla1[],2,0)</f>
        <v>23.3</v>
      </c>
      <c r="H141" s="24">
        <f>+G141/0.72</f>
        <v>32.361111111111114</v>
      </c>
      <c r="I141" s="24">
        <f>+H141*1.21</f>
        <v>39.156944444444449</v>
      </c>
      <c r="J141" s="24" t="s">
        <v>2359</v>
      </c>
      <c r="K141" s="24" t="s">
        <v>2371</v>
      </c>
      <c r="L141" t="s">
        <v>2</v>
      </c>
      <c r="M141" t="s">
        <v>1420</v>
      </c>
      <c r="N141" t="s">
        <v>1425</v>
      </c>
      <c r="O141" t="s">
        <v>1428</v>
      </c>
      <c r="P141" t="s">
        <v>1429</v>
      </c>
      <c r="Q141">
        <v>47</v>
      </c>
      <c r="R141" s="2">
        <v>8457780312380</v>
      </c>
      <c r="S141" s="3" t="s">
        <v>807</v>
      </c>
      <c r="T141" t="s">
        <v>1319</v>
      </c>
      <c r="U141" t="s">
        <v>1320</v>
      </c>
    </row>
    <row r="142" spans="1:21" x14ac:dyDescent="0.25">
      <c r="A142" t="s">
        <v>123</v>
      </c>
      <c r="B142" t="s">
        <v>2225</v>
      </c>
      <c r="C142" t="s">
        <v>137</v>
      </c>
      <c r="D142" t="s">
        <v>1556</v>
      </c>
      <c r="E142" t="str">
        <f>+CONCATENATE(D142,". FABRICADO EN ",M142,". PUNTERA DE ",N142,". PLANTILLA ",O142,". SUELA DE ",P142)</f>
        <v>ZAPATO SERRAJE S1+P+CI+SRC+ESD Camel 48. FABRICADO EN PIEL SERRAJE + REJILLA. PUNTERA DE Fibra de vidrio. PLANTILLA Antiperforación textil. SUELA DE PU/PU DOBLE DENSIDAD</v>
      </c>
      <c r="F142" t="str">
        <f>PROPER(E142)</f>
        <v>Zapato Serraje S1+P+Ci+Src+Esd Camel 48. Fabricado En Piel Serraje + Rejilla. Puntera De Fibra De Vidrio. Plantilla Antiperforación Textil. Suela De Pu/Pu Doble Densidad</v>
      </c>
      <c r="G142" s="24">
        <f>VLOOKUP(B142,Tabla1[],2,0)</f>
        <v>23.3</v>
      </c>
      <c r="H142" s="24">
        <f>+G142/0.72</f>
        <v>32.361111111111114</v>
      </c>
      <c r="I142" s="24">
        <f>+H142*1.21</f>
        <v>39.156944444444449</v>
      </c>
      <c r="J142" s="24" t="s">
        <v>2359</v>
      </c>
      <c r="K142" s="24" t="s">
        <v>2371</v>
      </c>
      <c r="L142" t="s">
        <v>2</v>
      </c>
      <c r="M142" t="s">
        <v>1420</v>
      </c>
      <c r="N142" t="s">
        <v>1425</v>
      </c>
      <c r="O142" t="s">
        <v>1428</v>
      </c>
      <c r="P142" t="s">
        <v>1429</v>
      </c>
      <c r="Q142">
        <v>48</v>
      </c>
      <c r="R142" s="2">
        <v>8457780312397</v>
      </c>
      <c r="S142" s="3" t="s">
        <v>808</v>
      </c>
      <c r="T142" t="s">
        <v>1319</v>
      </c>
      <c r="U142" t="s">
        <v>1320</v>
      </c>
    </row>
    <row r="143" spans="1:21" x14ac:dyDescent="0.25">
      <c r="A143" t="s">
        <v>123</v>
      </c>
      <c r="B143" t="s">
        <v>2225</v>
      </c>
      <c r="C143" t="s">
        <v>2025</v>
      </c>
      <c r="D143" t="s">
        <v>2084</v>
      </c>
      <c r="E143" t="str">
        <f>+CONCATENATE(D143,". FABRICADO EN ",M143,". PUNTERA DE ",N143,". PLANTILLA ",O143,". SUELA DE ",P143)</f>
        <v>ZAPATO SERRAJE S1+P+CI+SRC+ESD Camel 49. FABRICADO EN PIEL SERRAJE + REJILLA. PUNTERA DE Fibra de vidrio. PLANTILLA Antiperforación textil. SUELA DE PU/PU DOBLE DENSIDAD</v>
      </c>
      <c r="F143" t="str">
        <f>PROPER(E143)</f>
        <v>Zapato Serraje S1+P+Ci+Src+Esd Camel 49. Fabricado En Piel Serraje + Rejilla. Puntera De Fibra De Vidrio. Plantilla Antiperforación Textil. Suela De Pu/Pu Doble Densidad</v>
      </c>
      <c r="G143" s="24">
        <f>VLOOKUP(B143,Tabla1[],2,0)</f>
        <v>23.3</v>
      </c>
      <c r="H143" s="24">
        <f>+G143/0.72</f>
        <v>32.361111111111114</v>
      </c>
      <c r="I143" s="24">
        <f>+H143*1.21</f>
        <v>39.156944444444449</v>
      </c>
      <c r="J143" s="24" t="s">
        <v>2359</v>
      </c>
      <c r="K143" s="24" t="s">
        <v>2371</v>
      </c>
      <c r="L143" t="s">
        <v>2</v>
      </c>
      <c r="M143" t="s">
        <v>1420</v>
      </c>
      <c r="N143" t="s">
        <v>1425</v>
      </c>
      <c r="O143" t="s">
        <v>1428</v>
      </c>
      <c r="P143" t="s">
        <v>1429</v>
      </c>
      <c r="Q143">
        <v>49</v>
      </c>
      <c r="R143" s="3">
        <v>8457780348402</v>
      </c>
      <c r="S143" s="3">
        <v>1845778034840</v>
      </c>
      <c r="T143" t="s">
        <v>1319</v>
      </c>
      <c r="U143" t="s">
        <v>1320</v>
      </c>
    </row>
    <row r="144" spans="1:21" x14ac:dyDescent="0.25">
      <c r="A144" t="s">
        <v>123</v>
      </c>
      <c r="B144" t="s">
        <v>2225</v>
      </c>
      <c r="C144" t="s">
        <v>2026</v>
      </c>
      <c r="D144" t="s">
        <v>2085</v>
      </c>
      <c r="E144" t="str">
        <f>+CONCATENATE(D144,". FABRICADO EN ",M144,". PUNTERA DE ",N144,". PLANTILLA ",O144,". SUELA DE ",P144)</f>
        <v>ZAPATO SERRAJE S1+P+CI+SRC+ESD Camel 50. FABRICADO EN PIEL SERRAJE + REJILLA. PUNTERA DE Fibra de vidrio. PLANTILLA Antiperforación textil. SUELA DE PU/PU DOBLE DENSIDAD</v>
      </c>
      <c r="F144" t="str">
        <f>PROPER(E144)</f>
        <v>Zapato Serraje S1+P+Ci+Src+Esd Camel 50. Fabricado En Piel Serraje + Rejilla. Puntera De Fibra De Vidrio. Plantilla Antiperforación Textil. Suela De Pu/Pu Doble Densidad</v>
      </c>
      <c r="G144" s="24">
        <f>VLOOKUP(B144,Tabla1[],2,0)</f>
        <v>23.3</v>
      </c>
      <c r="H144" s="24">
        <f>+G144/0.72</f>
        <v>32.361111111111114</v>
      </c>
      <c r="I144" s="24">
        <f>+H144*1.21</f>
        <v>39.156944444444449</v>
      </c>
      <c r="J144" s="24" t="s">
        <v>2359</v>
      </c>
      <c r="K144" s="24" t="s">
        <v>2371</v>
      </c>
      <c r="L144" t="s">
        <v>2</v>
      </c>
      <c r="M144" t="s">
        <v>1420</v>
      </c>
      <c r="N144" t="s">
        <v>1425</v>
      </c>
      <c r="O144" t="s">
        <v>1428</v>
      </c>
      <c r="P144" t="s">
        <v>1429</v>
      </c>
      <c r="Q144">
        <v>50</v>
      </c>
      <c r="R144" s="3">
        <v>8457780348419</v>
      </c>
      <c r="S144" s="3">
        <v>1845778034841</v>
      </c>
      <c r="T144" t="s">
        <v>1319</v>
      </c>
      <c r="U144" t="s">
        <v>1320</v>
      </c>
    </row>
    <row r="145" spans="1:20" x14ac:dyDescent="0.25">
      <c r="A145" t="s">
        <v>2068</v>
      </c>
      <c r="B145" t="s">
        <v>2226</v>
      </c>
      <c r="C145" t="s">
        <v>2067</v>
      </c>
      <c r="D145" t="s">
        <v>2327</v>
      </c>
      <c r="E145" t="str">
        <f>+CONCATENATE(D145,". FABRICADO EN ",M145,". PUNTERA DE ",N145,". PLANTILLA ",O145,". SUELA DE ",P145)</f>
        <v>ZAPATO CHEROKEEAZ S1+P+CI+SRC+ESD Marino  35. FABRICADO EN PIEL SERRAJE + REJILLA. PUNTERA DE Fibra de vidrio. PLANTILLA Antiperforación textil. SUELA DE PU/PU DOBLE DENSIDAD</v>
      </c>
      <c r="F145" t="str">
        <f>PROPER(E145)</f>
        <v>Zapato Cherokeeaz S1+P+Ci+Src+Esd Marino  35. Fabricado En Piel Serraje + Rejilla. Puntera De Fibra De Vidrio. Plantilla Antiperforación Textil. Suela De Pu/Pu Doble Densidad</v>
      </c>
      <c r="G145" s="24">
        <v>23.3</v>
      </c>
      <c r="H145" s="24">
        <f>+G145/0.72</f>
        <v>32.361111111111114</v>
      </c>
      <c r="I145" s="24">
        <f>+H145*1.21</f>
        <v>39.156944444444449</v>
      </c>
      <c r="J145" s="24" t="s">
        <v>2359</v>
      </c>
      <c r="K145" s="24" t="s">
        <v>2371</v>
      </c>
      <c r="L145" t="s">
        <v>2086</v>
      </c>
      <c r="M145" t="s">
        <v>1420</v>
      </c>
      <c r="N145" t="s">
        <v>1425</v>
      </c>
      <c r="O145" t="s">
        <v>1428</v>
      </c>
      <c r="P145" t="s">
        <v>1429</v>
      </c>
      <c r="Q145">
        <v>35</v>
      </c>
      <c r="R145" s="3">
        <v>8457780348105</v>
      </c>
      <c r="S145" s="3">
        <v>18457780348102</v>
      </c>
      <c r="T145" t="s">
        <v>2170</v>
      </c>
    </row>
    <row r="146" spans="1:20" x14ac:dyDescent="0.25">
      <c r="A146" t="s">
        <v>2068</v>
      </c>
      <c r="B146" t="s">
        <v>2226</v>
      </c>
      <c r="C146" t="s">
        <v>2069</v>
      </c>
      <c r="D146" t="s">
        <v>2328</v>
      </c>
      <c r="E146" t="str">
        <f>+CONCATENATE(D146,". FABRICADO EN ",M146,". PUNTERA DE ",N146,". PLANTILLA ",O146,". SUELA DE ",P146)</f>
        <v>ZAPATO CHEROKEEAZ S1+P+CI+SRC+ESD Marino  36. FABRICADO EN PIEL SERRAJE + REJILLA. PUNTERA DE Fibra de vidrio. PLANTILLA Antiperforación textil. SUELA DE PU/PU DOBLE DENSIDAD</v>
      </c>
      <c r="F146" t="str">
        <f>PROPER(E146)</f>
        <v>Zapato Cherokeeaz S1+P+Ci+Src+Esd Marino  36. Fabricado En Piel Serraje + Rejilla. Puntera De Fibra De Vidrio. Plantilla Antiperforación Textil. Suela De Pu/Pu Doble Densidad</v>
      </c>
      <c r="G146" s="24">
        <v>23.3</v>
      </c>
      <c r="H146" s="24">
        <f>+G146/0.72</f>
        <v>32.361111111111114</v>
      </c>
      <c r="I146" s="24">
        <f>+H146*1.21</f>
        <v>39.156944444444449</v>
      </c>
      <c r="J146" s="24" t="s">
        <v>2359</v>
      </c>
      <c r="K146" s="24" t="s">
        <v>2371</v>
      </c>
      <c r="L146" t="s">
        <v>2086</v>
      </c>
      <c r="M146" t="s">
        <v>1420</v>
      </c>
      <c r="N146" t="s">
        <v>1425</v>
      </c>
      <c r="O146" t="s">
        <v>1428</v>
      </c>
      <c r="P146" t="s">
        <v>1429</v>
      </c>
      <c r="Q146">
        <v>36</v>
      </c>
      <c r="R146" s="3">
        <v>8457780348112</v>
      </c>
      <c r="S146" s="3">
        <v>18457780348119</v>
      </c>
      <c r="T146" t="s">
        <v>2170</v>
      </c>
    </row>
    <row r="147" spans="1:20" x14ac:dyDescent="0.25">
      <c r="A147" t="s">
        <v>2068</v>
      </c>
      <c r="B147" t="s">
        <v>2226</v>
      </c>
      <c r="C147" t="s">
        <v>2070</v>
      </c>
      <c r="D147" t="s">
        <v>2329</v>
      </c>
      <c r="E147" t="str">
        <f>+CONCATENATE(D147,". FABRICADO EN ",M147,". PUNTERA DE ",N147,". PLANTILLA ",O147,". SUELA DE ",P147)</f>
        <v>ZAPATO CHEROKEEAZ S1+P+CI+SRC+ESD Marino  37. FABRICADO EN PIEL SERRAJE + REJILLA. PUNTERA DE Fibra de vidrio. PLANTILLA Antiperforación textil. SUELA DE PU/PU DOBLE DENSIDAD</v>
      </c>
      <c r="F147" t="str">
        <f>PROPER(E147)</f>
        <v>Zapato Cherokeeaz S1+P+Ci+Src+Esd Marino  37. Fabricado En Piel Serraje + Rejilla. Puntera De Fibra De Vidrio. Plantilla Antiperforación Textil. Suela De Pu/Pu Doble Densidad</v>
      </c>
      <c r="G147" s="24">
        <v>23.3</v>
      </c>
      <c r="H147" s="24">
        <f>+G147/0.72</f>
        <v>32.361111111111114</v>
      </c>
      <c r="I147" s="24">
        <f>+H147*1.21</f>
        <v>39.156944444444449</v>
      </c>
      <c r="J147" s="24" t="s">
        <v>2359</v>
      </c>
      <c r="K147" s="24" t="s">
        <v>2371</v>
      </c>
      <c r="L147" t="s">
        <v>2086</v>
      </c>
      <c r="M147" t="s">
        <v>1420</v>
      </c>
      <c r="N147" t="s">
        <v>1425</v>
      </c>
      <c r="O147" t="s">
        <v>1428</v>
      </c>
      <c r="P147" t="s">
        <v>1429</v>
      </c>
      <c r="Q147">
        <v>37</v>
      </c>
      <c r="R147" s="3">
        <v>8457780348129</v>
      </c>
      <c r="S147" s="3">
        <v>18457780348126</v>
      </c>
      <c r="T147" t="s">
        <v>2170</v>
      </c>
    </row>
    <row r="148" spans="1:20" x14ac:dyDescent="0.25">
      <c r="A148" t="s">
        <v>2068</v>
      </c>
      <c r="B148" t="s">
        <v>2226</v>
      </c>
      <c r="C148" t="s">
        <v>2071</v>
      </c>
      <c r="D148" t="s">
        <v>2330</v>
      </c>
      <c r="E148" t="str">
        <f>+CONCATENATE(D148,". FABRICADO EN ",M148,". PUNTERA DE ",N148,". PLANTILLA ",O148,". SUELA DE ",P148)</f>
        <v>ZAPATO CHEROKEEAZ S1+P+CI+SRC+ESD Marino  38. FABRICADO EN PIEL SERRAJE + REJILLA. PUNTERA DE Fibra de vidrio. PLANTILLA Antiperforación textil. SUELA DE PU/PU DOBLE DENSIDAD</v>
      </c>
      <c r="F148" t="str">
        <f>PROPER(E148)</f>
        <v>Zapato Cherokeeaz S1+P+Ci+Src+Esd Marino  38. Fabricado En Piel Serraje + Rejilla. Puntera De Fibra De Vidrio. Plantilla Antiperforación Textil. Suela De Pu/Pu Doble Densidad</v>
      </c>
      <c r="G148" s="24">
        <v>23.3</v>
      </c>
      <c r="H148" s="24">
        <f>+G148/0.72</f>
        <v>32.361111111111114</v>
      </c>
      <c r="I148" s="24">
        <f>+H148*1.21</f>
        <v>39.156944444444449</v>
      </c>
      <c r="J148" s="24" t="s">
        <v>2359</v>
      </c>
      <c r="K148" s="24" t="s">
        <v>2371</v>
      </c>
      <c r="L148" t="s">
        <v>2086</v>
      </c>
      <c r="M148" t="s">
        <v>1420</v>
      </c>
      <c r="N148" t="s">
        <v>1425</v>
      </c>
      <c r="O148" t="s">
        <v>1428</v>
      </c>
      <c r="P148" t="s">
        <v>1429</v>
      </c>
      <c r="Q148">
        <v>38</v>
      </c>
      <c r="R148" s="3">
        <v>8457780348136</v>
      </c>
      <c r="S148" s="3">
        <v>18457780348133</v>
      </c>
      <c r="T148" t="s">
        <v>2170</v>
      </c>
    </row>
    <row r="149" spans="1:20" x14ac:dyDescent="0.25">
      <c r="A149" t="s">
        <v>2068</v>
      </c>
      <c r="B149" t="s">
        <v>2226</v>
      </c>
      <c r="C149" t="s">
        <v>2072</v>
      </c>
      <c r="D149" t="s">
        <v>2331</v>
      </c>
      <c r="E149" t="str">
        <f>+CONCATENATE(D149,". FABRICADO EN ",M149,". PUNTERA DE ",N149,". PLANTILLA ",O149,". SUELA DE ",P149)</f>
        <v>ZAPATO CHEROKEEAZ S1+P+CI+SRC+ESD Marino  39. FABRICADO EN PIEL SERRAJE + REJILLA. PUNTERA DE Fibra de vidrio. PLANTILLA Antiperforación textil. SUELA DE PU/PU DOBLE DENSIDAD</v>
      </c>
      <c r="F149" t="str">
        <f>PROPER(E149)</f>
        <v>Zapato Cherokeeaz S1+P+Ci+Src+Esd Marino  39. Fabricado En Piel Serraje + Rejilla. Puntera De Fibra De Vidrio. Plantilla Antiperforación Textil. Suela De Pu/Pu Doble Densidad</v>
      </c>
      <c r="G149" s="24">
        <v>23.3</v>
      </c>
      <c r="H149" s="24">
        <f>+G149/0.72</f>
        <v>32.361111111111114</v>
      </c>
      <c r="I149" s="24">
        <f>+H149*1.21</f>
        <v>39.156944444444449</v>
      </c>
      <c r="J149" s="24" t="s">
        <v>2359</v>
      </c>
      <c r="K149" s="24" t="s">
        <v>2371</v>
      </c>
      <c r="L149" t="s">
        <v>2086</v>
      </c>
      <c r="M149" t="s">
        <v>1420</v>
      </c>
      <c r="N149" t="s">
        <v>1425</v>
      </c>
      <c r="O149" t="s">
        <v>1428</v>
      </c>
      <c r="P149" t="s">
        <v>1429</v>
      </c>
      <c r="Q149">
        <v>39</v>
      </c>
      <c r="R149" s="3">
        <v>8457780348143</v>
      </c>
      <c r="S149" s="3">
        <v>18457780348140</v>
      </c>
      <c r="T149" t="s">
        <v>2170</v>
      </c>
    </row>
    <row r="150" spans="1:20" x14ac:dyDescent="0.25">
      <c r="A150" t="s">
        <v>2068</v>
      </c>
      <c r="B150" t="s">
        <v>2226</v>
      </c>
      <c r="C150" t="s">
        <v>2073</v>
      </c>
      <c r="D150" t="s">
        <v>2332</v>
      </c>
      <c r="E150" t="str">
        <f>+CONCATENATE(D150,". FABRICADO EN ",M150,". PUNTERA DE ",N150,". PLANTILLA ",O150,". SUELA DE ",P150)</f>
        <v>ZAPATO CHEROKEEAZ S1+P+CI+SRC+ESD Marino  40. FABRICADO EN PIEL SERRAJE + REJILLA. PUNTERA DE Fibra de vidrio. PLANTILLA Antiperforación textil. SUELA DE PU/PU DOBLE DENSIDAD</v>
      </c>
      <c r="F150" t="str">
        <f>PROPER(E150)</f>
        <v>Zapato Cherokeeaz S1+P+Ci+Src+Esd Marino  40. Fabricado En Piel Serraje + Rejilla. Puntera De Fibra De Vidrio. Plantilla Antiperforación Textil. Suela De Pu/Pu Doble Densidad</v>
      </c>
      <c r="G150" s="24">
        <v>23.3</v>
      </c>
      <c r="H150" s="24">
        <f>+G150/0.72</f>
        <v>32.361111111111114</v>
      </c>
      <c r="I150" s="24">
        <f>+H150*1.21</f>
        <v>39.156944444444449</v>
      </c>
      <c r="J150" s="24" t="s">
        <v>2359</v>
      </c>
      <c r="K150" s="24" t="s">
        <v>2371</v>
      </c>
      <c r="L150" t="s">
        <v>2086</v>
      </c>
      <c r="M150" t="s">
        <v>1420</v>
      </c>
      <c r="N150" t="s">
        <v>1425</v>
      </c>
      <c r="O150" t="s">
        <v>1428</v>
      </c>
      <c r="P150" t="s">
        <v>1429</v>
      </c>
      <c r="Q150">
        <v>40</v>
      </c>
      <c r="R150" s="3">
        <v>8457780348150</v>
      </c>
      <c r="S150" s="3">
        <v>18457780348157</v>
      </c>
      <c r="T150" t="s">
        <v>2170</v>
      </c>
    </row>
    <row r="151" spans="1:20" x14ac:dyDescent="0.25">
      <c r="A151" t="s">
        <v>2068</v>
      </c>
      <c r="B151" t="s">
        <v>2226</v>
      </c>
      <c r="C151" t="s">
        <v>2074</v>
      </c>
      <c r="D151" t="s">
        <v>2333</v>
      </c>
      <c r="E151" t="str">
        <f>+CONCATENATE(D151,". FABRICADO EN ",M151,". PUNTERA DE ",N151,". PLANTILLA ",O151,". SUELA DE ",P151)</f>
        <v>ZAPATO CHEROKEEAZ S1+P+CI+SRC+ESD Marino  41. FABRICADO EN PIEL SERRAJE + REJILLA. PUNTERA DE Fibra de vidrio. PLANTILLA Antiperforación textil. SUELA DE PU/PU DOBLE DENSIDAD</v>
      </c>
      <c r="F151" t="str">
        <f>PROPER(E151)</f>
        <v>Zapato Cherokeeaz S1+P+Ci+Src+Esd Marino  41. Fabricado En Piel Serraje + Rejilla. Puntera De Fibra De Vidrio. Plantilla Antiperforación Textil. Suela De Pu/Pu Doble Densidad</v>
      </c>
      <c r="G151" s="24">
        <v>23.3</v>
      </c>
      <c r="H151" s="24">
        <f>+G151/0.72</f>
        <v>32.361111111111114</v>
      </c>
      <c r="I151" s="24">
        <f>+H151*1.21</f>
        <v>39.156944444444449</v>
      </c>
      <c r="J151" s="24" t="s">
        <v>2359</v>
      </c>
      <c r="K151" s="24" t="s">
        <v>2371</v>
      </c>
      <c r="L151" t="s">
        <v>2086</v>
      </c>
      <c r="M151" t="s">
        <v>1420</v>
      </c>
      <c r="N151" t="s">
        <v>1425</v>
      </c>
      <c r="O151" t="s">
        <v>1428</v>
      </c>
      <c r="P151" t="s">
        <v>1429</v>
      </c>
      <c r="Q151">
        <v>41</v>
      </c>
      <c r="R151" s="3">
        <v>8457780348167</v>
      </c>
      <c r="S151" s="3">
        <v>18457780348164</v>
      </c>
      <c r="T151" t="s">
        <v>2170</v>
      </c>
    </row>
    <row r="152" spans="1:20" x14ac:dyDescent="0.25">
      <c r="A152" t="s">
        <v>2068</v>
      </c>
      <c r="B152" t="s">
        <v>2226</v>
      </c>
      <c r="C152" t="s">
        <v>2075</v>
      </c>
      <c r="D152" t="s">
        <v>2334</v>
      </c>
      <c r="E152" t="str">
        <f>+CONCATENATE(D152,". FABRICADO EN ",M152,". PUNTERA DE ",N152,". PLANTILLA ",O152,". SUELA DE ",P152)</f>
        <v>ZAPATO CHEROKEEAZ S1+P+CI+SRC+ESD Marino  42. FABRICADO EN PIEL SERRAJE + REJILLA. PUNTERA DE Fibra de vidrio. PLANTILLA Antiperforación textil. SUELA DE PU/PU DOBLE DENSIDAD</v>
      </c>
      <c r="F152" t="str">
        <f>PROPER(E152)</f>
        <v>Zapato Cherokeeaz S1+P+Ci+Src+Esd Marino  42. Fabricado En Piel Serraje + Rejilla. Puntera De Fibra De Vidrio. Plantilla Antiperforación Textil. Suela De Pu/Pu Doble Densidad</v>
      </c>
      <c r="G152" s="24">
        <v>23.3</v>
      </c>
      <c r="H152" s="24">
        <f>+G152/0.72</f>
        <v>32.361111111111114</v>
      </c>
      <c r="I152" s="24">
        <f>+H152*1.21</f>
        <v>39.156944444444449</v>
      </c>
      <c r="J152" s="24" t="s">
        <v>2359</v>
      </c>
      <c r="K152" s="24" t="s">
        <v>2371</v>
      </c>
      <c r="L152" t="s">
        <v>2086</v>
      </c>
      <c r="M152" t="s">
        <v>1420</v>
      </c>
      <c r="N152" t="s">
        <v>1425</v>
      </c>
      <c r="O152" t="s">
        <v>1428</v>
      </c>
      <c r="P152" t="s">
        <v>1429</v>
      </c>
      <c r="Q152">
        <v>42</v>
      </c>
      <c r="R152" s="3">
        <v>8457780348174</v>
      </c>
      <c r="S152" s="3">
        <v>18457780348171</v>
      </c>
      <c r="T152" t="s">
        <v>2170</v>
      </c>
    </row>
    <row r="153" spans="1:20" x14ac:dyDescent="0.25">
      <c r="A153" t="s">
        <v>2068</v>
      </c>
      <c r="B153" t="s">
        <v>2226</v>
      </c>
      <c r="C153" t="s">
        <v>2076</v>
      </c>
      <c r="D153" t="s">
        <v>2335</v>
      </c>
      <c r="E153" t="str">
        <f>+CONCATENATE(D153,". FABRICADO EN ",M153,". PUNTERA DE ",N153,". PLANTILLA ",O153,". SUELA DE ",P153)</f>
        <v>ZAPATO CHEROKEEAZ S1+P+CI+SRC+ESD Marino  43. FABRICADO EN PIEL SERRAJE + REJILLA. PUNTERA DE Fibra de vidrio. PLANTILLA Antiperforación textil. SUELA DE PU/PU DOBLE DENSIDAD</v>
      </c>
      <c r="F153" t="str">
        <f>PROPER(E153)</f>
        <v>Zapato Cherokeeaz S1+P+Ci+Src+Esd Marino  43. Fabricado En Piel Serraje + Rejilla. Puntera De Fibra De Vidrio. Plantilla Antiperforación Textil. Suela De Pu/Pu Doble Densidad</v>
      </c>
      <c r="G153" s="24">
        <v>23.3</v>
      </c>
      <c r="H153" s="24">
        <f>+G153/0.72</f>
        <v>32.361111111111114</v>
      </c>
      <c r="I153" s="24">
        <f>+H153*1.21</f>
        <v>39.156944444444449</v>
      </c>
      <c r="J153" s="24" t="s">
        <v>2359</v>
      </c>
      <c r="K153" s="24" t="s">
        <v>2371</v>
      </c>
      <c r="L153" t="s">
        <v>2086</v>
      </c>
      <c r="M153" t="s">
        <v>1420</v>
      </c>
      <c r="N153" t="s">
        <v>1425</v>
      </c>
      <c r="O153" t="s">
        <v>1428</v>
      </c>
      <c r="P153" t="s">
        <v>1429</v>
      </c>
      <c r="Q153">
        <v>43</v>
      </c>
      <c r="R153" s="3">
        <v>8457780348181</v>
      </c>
      <c r="S153" s="3">
        <v>18457780348188</v>
      </c>
      <c r="T153" t="s">
        <v>2170</v>
      </c>
    </row>
    <row r="154" spans="1:20" x14ac:dyDescent="0.25">
      <c r="A154" t="s">
        <v>2068</v>
      </c>
      <c r="B154" t="s">
        <v>2226</v>
      </c>
      <c r="C154" t="s">
        <v>2077</v>
      </c>
      <c r="D154" t="s">
        <v>2336</v>
      </c>
      <c r="E154" t="str">
        <f>+CONCATENATE(D154,". FABRICADO EN ",M154,". PUNTERA DE ",N154,". PLANTILLA ",O154,". SUELA DE ",P154)</f>
        <v>ZAPATO CHEROKEEAZ S1+P+CI+SRC+ESD Marino  44. FABRICADO EN PIEL SERRAJE + REJILLA. PUNTERA DE Fibra de vidrio. PLANTILLA Antiperforación textil. SUELA DE PU/PU DOBLE DENSIDAD</v>
      </c>
      <c r="F154" t="str">
        <f>PROPER(E154)</f>
        <v>Zapato Cherokeeaz S1+P+Ci+Src+Esd Marino  44. Fabricado En Piel Serraje + Rejilla. Puntera De Fibra De Vidrio. Plantilla Antiperforación Textil. Suela De Pu/Pu Doble Densidad</v>
      </c>
      <c r="G154" s="24">
        <v>23.3</v>
      </c>
      <c r="H154" s="24">
        <f>+G154/0.72</f>
        <v>32.361111111111114</v>
      </c>
      <c r="I154" s="24">
        <f>+H154*1.21</f>
        <v>39.156944444444449</v>
      </c>
      <c r="J154" s="24" t="s">
        <v>2359</v>
      </c>
      <c r="K154" s="24" t="s">
        <v>2371</v>
      </c>
      <c r="L154" t="s">
        <v>2086</v>
      </c>
      <c r="M154" t="s">
        <v>1420</v>
      </c>
      <c r="N154" t="s">
        <v>1425</v>
      </c>
      <c r="O154" t="s">
        <v>1428</v>
      </c>
      <c r="P154" t="s">
        <v>1429</v>
      </c>
      <c r="Q154">
        <v>44</v>
      </c>
      <c r="R154" s="3">
        <v>8457780348198</v>
      </c>
      <c r="S154" s="3">
        <v>18457780348195</v>
      </c>
      <c r="T154" t="s">
        <v>2170</v>
      </c>
    </row>
    <row r="155" spans="1:20" x14ac:dyDescent="0.25">
      <c r="A155" t="s">
        <v>2068</v>
      </c>
      <c r="B155" t="s">
        <v>2226</v>
      </c>
      <c r="C155" t="s">
        <v>2078</v>
      </c>
      <c r="D155" t="s">
        <v>2337</v>
      </c>
      <c r="E155" t="str">
        <f>+CONCATENATE(D155,". FABRICADO EN ",M155,". PUNTERA DE ",N155,". PLANTILLA ",O155,". SUELA DE ",P155)</f>
        <v>ZAPATO CHEROKEEAZ S1+P+CI+SRC+ESD Marino  45. FABRICADO EN PIEL SERRAJE + REJILLA. PUNTERA DE Fibra de vidrio. PLANTILLA Antiperforación textil. SUELA DE PU/PU DOBLE DENSIDAD</v>
      </c>
      <c r="F155" t="str">
        <f>PROPER(E155)</f>
        <v>Zapato Cherokeeaz S1+P+Ci+Src+Esd Marino  45. Fabricado En Piel Serraje + Rejilla. Puntera De Fibra De Vidrio. Plantilla Antiperforación Textil. Suela De Pu/Pu Doble Densidad</v>
      </c>
      <c r="G155" s="24">
        <v>23.3</v>
      </c>
      <c r="H155" s="24">
        <f>+G155/0.72</f>
        <v>32.361111111111114</v>
      </c>
      <c r="I155" s="24">
        <f>+H155*1.21</f>
        <v>39.156944444444449</v>
      </c>
      <c r="J155" s="24" t="s">
        <v>2359</v>
      </c>
      <c r="K155" s="24" t="s">
        <v>2371</v>
      </c>
      <c r="L155" t="s">
        <v>2086</v>
      </c>
      <c r="M155" t="s">
        <v>1420</v>
      </c>
      <c r="N155" t="s">
        <v>1425</v>
      </c>
      <c r="O155" t="s">
        <v>1428</v>
      </c>
      <c r="P155" t="s">
        <v>1429</v>
      </c>
      <c r="Q155">
        <v>45</v>
      </c>
      <c r="R155" s="3">
        <v>8457780348204</v>
      </c>
      <c r="S155" s="3">
        <v>18457780348201</v>
      </c>
      <c r="T155" t="s">
        <v>2170</v>
      </c>
    </row>
    <row r="156" spans="1:20" x14ac:dyDescent="0.25">
      <c r="A156" t="s">
        <v>2068</v>
      </c>
      <c r="B156" t="s">
        <v>2226</v>
      </c>
      <c r="C156" t="s">
        <v>2079</v>
      </c>
      <c r="D156" t="s">
        <v>2338</v>
      </c>
      <c r="E156" t="str">
        <f>+CONCATENATE(D156,". FABRICADO EN ",M156,". PUNTERA DE ",N156,". PLANTILLA ",O156,". SUELA DE ",P156)</f>
        <v>ZAPATO CHEROKEEAZ S1+P+CI+SRC+ESD Marino  46. FABRICADO EN PIEL SERRAJE + REJILLA. PUNTERA DE Fibra de vidrio. PLANTILLA Antiperforación textil. SUELA DE PU/PU DOBLE DENSIDAD</v>
      </c>
      <c r="F156" t="str">
        <f>PROPER(E156)</f>
        <v>Zapato Cherokeeaz S1+P+Ci+Src+Esd Marino  46. Fabricado En Piel Serraje + Rejilla. Puntera De Fibra De Vidrio. Plantilla Antiperforación Textil. Suela De Pu/Pu Doble Densidad</v>
      </c>
      <c r="G156" s="24">
        <v>23.3</v>
      </c>
      <c r="H156" s="24">
        <f>+G156/0.72</f>
        <v>32.361111111111114</v>
      </c>
      <c r="I156" s="24">
        <f>+H156*1.21</f>
        <v>39.156944444444449</v>
      </c>
      <c r="J156" s="24" t="s">
        <v>2359</v>
      </c>
      <c r="K156" s="24" t="s">
        <v>2371</v>
      </c>
      <c r="L156" t="s">
        <v>2086</v>
      </c>
      <c r="M156" t="s">
        <v>1420</v>
      </c>
      <c r="N156" t="s">
        <v>1425</v>
      </c>
      <c r="O156" t="s">
        <v>1428</v>
      </c>
      <c r="P156" t="s">
        <v>1429</v>
      </c>
      <c r="Q156">
        <v>46</v>
      </c>
      <c r="R156" s="3">
        <v>8457780348211</v>
      </c>
      <c r="S156" s="3">
        <v>18457780348218</v>
      </c>
      <c r="T156" t="s">
        <v>2170</v>
      </c>
    </row>
    <row r="157" spans="1:20" x14ac:dyDescent="0.25">
      <c r="A157" t="s">
        <v>2068</v>
      </c>
      <c r="B157" t="s">
        <v>2226</v>
      </c>
      <c r="C157" t="s">
        <v>2080</v>
      </c>
      <c r="D157" t="s">
        <v>2339</v>
      </c>
      <c r="E157" t="str">
        <f>+CONCATENATE(D157,". FABRICADO EN ",M157,". PUNTERA DE ",N157,". PLANTILLA ",O157,". SUELA DE ",P157)</f>
        <v>ZAPATO CHEROKEEAZ S1+P+CI+SRC+ESD Marino  47. FABRICADO EN PIEL SERRAJE + REJILLA. PUNTERA DE Fibra de vidrio. PLANTILLA Antiperforación textil. SUELA DE PU/PU DOBLE DENSIDAD</v>
      </c>
      <c r="F157" t="str">
        <f>PROPER(E157)</f>
        <v>Zapato Cherokeeaz S1+P+Ci+Src+Esd Marino  47. Fabricado En Piel Serraje + Rejilla. Puntera De Fibra De Vidrio. Plantilla Antiperforación Textil. Suela De Pu/Pu Doble Densidad</v>
      </c>
      <c r="G157" s="24">
        <v>23.3</v>
      </c>
      <c r="H157" s="24">
        <f>+G157/0.72</f>
        <v>32.361111111111114</v>
      </c>
      <c r="I157" s="24">
        <f>+H157*1.21</f>
        <v>39.156944444444449</v>
      </c>
      <c r="J157" s="24" t="s">
        <v>2359</v>
      </c>
      <c r="K157" s="24" t="s">
        <v>2371</v>
      </c>
      <c r="L157" t="s">
        <v>2086</v>
      </c>
      <c r="M157" t="s">
        <v>1420</v>
      </c>
      <c r="N157" t="s">
        <v>1425</v>
      </c>
      <c r="O157" t="s">
        <v>1428</v>
      </c>
      <c r="P157" t="s">
        <v>1429</v>
      </c>
      <c r="Q157">
        <v>47</v>
      </c>
      <c r="R157" s="3">
        <v>8457780348228</v>
      </c>
      <c r="S157" s="3">
        <v>18457780348225</v>
      </c>
      <c r="T157" t="s">
        <v>2170</v>
      </c>
    </row>
    <row r="158" spans="1:20" x14ac:dyDescent="0.25">
      <c r="A158" t="s">
        <v>2068</v>
      </c>
      <c r="B158" t="s">
        <v>2226</v>
      </c>
      <c r="C158" t="s">
        <v>2081</v>
      </c>
      <c r="D158" t="s">
        <v>2340</v>
      </c>
      <c r="E158" t="str">
        <f>+CONCATENATE(D158,". FABRICADO EN ",M158,". PUNTERA DE ",N158,". PLANTILLA ",O158,". SUELA DE ",P158)</f>
        <v>ZAPATO CHEROKEEAZ S1+P+CI+SRC+ESD Marino  48. FABRICADO EN PIEL SERRAJE + REJILLA. PUNTERA DE Fibra de vidrio. PLANTILLA Antiperforación textil. SUELA DE PU/PU DOBLE DENSIDAD</v>
      </c>
      <c r="F158" t="str">
        <f>PROPER(E158)</f>
        <v>Zapato Cherokeeaz S1+P+Ci+Src+Esd Marino  48. Fabricado En Piel Serraje + Rejilla. Puntera De Fibra De Vidrio. Plantilla Antiperforación Textil. Suela De Pu/Pu Doble Densidad</v>
      </c>
      <c r="G158" s="24">
        <v>23.3</v>
      </c>
      <c r="H158" s="24">
        <f>+G158/0.72</f>
        <v>32.361111111111114</v>
      </c>
      <c r="I158" s="24">
        <f>+H158*1.21</f>
        <v>39.156944444444449</v>
      </c>
      <c r="J158" s="24" t="s">
        <v>2359</v>
      </c>
      <c r="K158" s="24" t="s">
        <v>2371</v>
      </c>
      <c r="L158" t="s">
        <v>2086</v>
      </c>
      <c r="M158" t="s">
        <v>1420</v>
      </c>
      <c r="N158" t="s">
        <v>1425</v>
      </c>
      <c r="O158" t="s">
        <v>1428</v>
      </c>
      <c r="P158" t="s">
        <v>1429</v>
      </c>
      <c r="Q158">
        <v>48</v>
      </c>
      <c r="R158" s="3">
        <v>8457780348235</v>
      </c>
      <c r="S158" s="3">
        <v>18457780348232</v>
      </c>
      <c r="T158" t="s">
        <v>2170</v>
      </c>
    </row>
    <row r="159" spans="1:20" x14ac:dyDescent="0.25">
      <c r="A159" t="s">
        <v>2068</v>
      </c>
      <c r="B159" t="s">
        <v>2226</v>
      </c>
      <c r="C159" t="s">
        <v>2082</v>
      </c>
      <c r="D159" t="s">
        <v>2341</v>
      </c>
      <c r="E159" t="str">
        <f>+CONCATENATE(D159,". FABRICADO EN ",M159,". PUNTERA DE ",N159,". PLANTILLA ",O159,". SUELA DE ",P159)</f>
        <v>ZAPATO CHEROKEEAZ S1+P+CI+SRC+ESD Marino  49. FABRICADO EN PIEL SERRAJE + REJILLA. PUNTERA DE Fibra de vidrio. PLANTILLA Antiperforación textil. SUELA DE PU/PU DOBLE DENSIDAD</v>
      </c>
      <c r="F159" t="str">
        <f>PROPER(E159)</f>
        <v>Zapato Cherokeeaz S1+P+Ci+Src+Esd Marino  49. Fabricado En Piel Serraje + Rejilla. Puntera De Fibra De Vidrio. Plantilla Antiperforación Textil. Suela De Pu/Pu Doble Densidad</v>
      </c>
      <c r="G159" s="24">
        <v>23.3</v>
      </c>
      <c r="H159" s="24">
        <f>+G159/0.72</f>
        <v>32.361111111111114</v>
      </c>
      <c r="I159" s="24">
        <f>+H159*1.21</f>
        <v>39.156944444444449</v>
      </c>
      <c r="J159" s="24" t="s">
        <v>2359</v>
      </c>
      <c r="K159" s="24" t="s">
        <v>2371</v>
      </c>
      <c r="L159" t="s">
        <v>2086</v>
      </c>
      <c r="M159" t="s">
        <v>1420</v>
      </c>
      <c r="N159" t="s">
        <v>1425</v>
      </c>
      <c r="O159" t="s">
        <v>1428</v>
      </c>
      <c r="P159" t="s">
        <v>1429</v>
      </c>
      <c r="Q159">
        <v>49</v>
      </c>
      <c r="R159" s="3">
        <v>8457780348242</v>
      </c>
      <c r="S159" s="3">
        <v>18457780348249</v>
      </c>
      <c r="T159" t="s">
        <v>2170</v>
      </c>
    </row>
    <row r="160" spans="1:20" x14ac:dyDescent="0.25">
      <c r="A160" t="s">
        <v>2068</v>
      </c>
      <c r="B160" t="s">
        <v>2226</v>
      </c>
      <c r="C160" t="s">
        <v>2083</v>
      </c>
      <c r="D160" t="s">
        <v>2342</v>
      </c>
      <c r="E160" t="str">
        <f>+CONCATENATE(D160,". FABRICADO EN ",M160,". PUNTERA DE ",N160,". PLANTILLA ",O160,". SUELA DE ",P160)</f>
        <v>ZAPATO CHEROKEEAZ S1+P+CI+SRC+ESD Marino  50. FABRICADO EN PIEL SERRAJE + REJILLA. PUNTERA DE Fibra de vidrio. PLANTILLA Antiperforación textil. SUELA DE PU/PU DOBLE DENSIDAD</v>
      </c>
      <c r="F160" t="str">
        <f>PROPER(E160)</f>
        <v>Zapato Cherokeeaz S1+P+Ci+Src+Esd Marino  50. Fabricado En Piel Serraje + Rejilla. Puntera De Fibra De Vidrio. Plantilla Antiperforación Textil. Suela De Pu/Pu Doble Densidad</v>
      </c>
      <c r="G160" s="24">
        <v>23.3</v>
      </c>
      <c r="H160" s="24">
        <f>+G160/0.72</f>
        <v>32.361111111111114</v>
      </c>
      <c r="I160" s="24">
        <f>+H160*1.21</f>
        <v>39.156944444444449</v>
      </c>
      <c r="J160" s="24" t="s">
        <v>2359</v>
      </c>
      <c r="K160" s="24" t="s">
        <v>2371</v>
      </c>
      <c r="L160" t="s">
        <v>2086</v>
      </c>
      <c r="M160" t="s">
        <v>1420</v>
      </c>
      <c r="N160" t="s">
        <v>1425</v>
      </c>
      <c r="O160" t="s">
        <v>1428</v>
      </c>
      <c r="P160" t="s">
        <v>1429</v>
      </c>
      <c r="Q160">
        <v>50</v>
      </c>
      <c r="R160" s="3">
        <v>8457780348259</v>
      </c>
      <c r="S160" s="3">
        <v>18457780348256</v>
      </c>
      <c r="T160" t="s">
        <v>2170</v>
      </c>
    </row>
    <row r="161" spans="1:20" x14ac:dyDescent="0.25">
      <c r="A161" t="s">
        <v>2103</v>
      </c>
      <c r="B161" t="s">
        <v>2227</v>
      </c>
      <c r="C161" t="s">
        <v>2087</v>
      </c>
      <c r="D161" t="s">
        <v>2343</v>
      </c>
      <c r="E161" t="str">
        <f>+CONCATENATE(D161,". FABRICADO EN ",M161,". PUNTERA DE ",N161,". PLANTILLA ",O161,". SUELA DE ",P161)</f>
        <v>ZAPATO CHEROKEEGR S1+P+CI+SRC+ESD Gris  35. FABRICADO EN PIEL SERRAJE + REJILLA. PUNTERA DE Fibra de vidrio. PLANTILLA Antiperforación textil. SUELA DE PU/PU DOBLE DENSIDAD</v>
      </c>
      <c r="F161" t="str">
        <f>PROPER(E161)</f>
        <v>Zapato Cherokeegr S1+P+Ci+Src+Esd Gris  35. Fabricado En Piel Serraje + Rejilla. Puntera De Fibra De Vidrio. Plantilla Antiperforación Textil. Suela De Pu/Pu Doble Densidad</v>
      </c>
      <c r="G161" s="24">
        <v>23.3</v>
      </c>
      <c r="H161" s="24">
        <f>+G161/0.72</f>
        <v>32.361111111111114</v>
      </c>
      <c r="I161" s="24">
        <f>+H161*1.21</f>
        <v>39.156944444444449</v>
      </c>
      <c r="J161" s="24" t="s">
        <v>2359</v>
      </c>
      <c r="K161" s="24" t="s">
        <v>2371</v>
      </c>
      <c r="L161" t="s">
        <v>2104</v>
      </c>
      <c r="M161" t="s">
        <v>1420</v>
      </c>
      <c r="N161" t="s">
        <v>1425</v>
      </c>
      <c r="O161" t="s">
        <v>1428</v>
      </c>
      <c r="P161" t="s">
        <v>1429</v>
      </c>
      <c r="Q161">
        <v>35</v>
      </c>
      <c r="R161" s="3">
        <v>8457780347948</v>
      </c>
      <c r="S161" s="3">
        <v>18457780347945</v>
      </c>
      <c r="T161" t="s">
        <v>2169</v>
      </c>
    </row>
    <row r="162" spans="1:20" x14ac:dyDescent="0.25">
      <c r="A162" t="s">
        <v>2103</v>
      </c>
      <c r="B162" t="s">
        <v>2227</v>
      </c>
      <c r="C162" t="s">
        <v>2088</v>
      </c>
      <c r="D162" t="s">
        <v>2344</v>
      </c>
      <c r="E162" t="str">
        <f>+CONCATENATE(D162,". FABRICADO EN ",M162,". PUNTERA DE ",N162,". PLANTILLA ",O162,". SUELA DE ",P162)</f>
        <v>ZAPATO CHEROKEEGR S1+P+CI+SRC+ESD Gris  36. FABRICADO EN PIEL SERRAJE + REJILLA. PUNTERA DE Fibra de vidrio. PLANTILLA Antiperforación textil. SUELA DE PU/PU DOBLE DENSIDAD</v>
      </c>
      <c r="F162" t="str">
        <f>PROPER(E162)</f>
        <v>Zapato Cherokeegr S1+P+Ci+Src+Esd Gris  36. Fabricado En Piel Serraje + Rejilla. Puntera De Fibra De Vidrio. Plantilla Antiperforación Textil. Suela De Pu/Pu Doble Densidad</v>
      </c>
      <c r="G162" s="24">
        <v>23.3</v>
      </c>
      <c r="H162" s="24">
        <f>+G162/0.72</f>
        <v>32.361111111111114</v>
      </c>
      <c r="I162" s="24">
        <f>+H162*1.21</f>
        <v>39.156944444444449</v>
      </c>
      <c r="J162" s="24" t="s">
        <v>2359</v>
      </c>
      <c r="K162" s="24" t="s">
        <v>2371</v>
      </c>
      <c r="L162" t="s">
        <v>2104</v>
      </c>
      <c r="M162" t="s">
        <v>1420</v>
      </c>
      <c r="N162" t="s">
        <v>1425</v>
      </c>
      <c r="O162" t="s">
        <v>1428</v>
      </c>
      <c r="P162" t="s">
        <v>1429</v>
      </c>
      <c r="Q162">
        <v>36</v>
      </c>
      <c r="R162" s="3">
        <v>8457780347955</v>
      </c>
      <c r="S162" s="3">
        <v>18457780347952</v>
      </c>
      <c r="T162" t="s">
        <v>2169</v>
      </c>
    </row>
    <row r="163" spans="1:20" x14ac:dyDescent="0.25">
      <c r="A163" t="s">
        <v>2103</v>
      </c>
      <c r="B163" t="s">
        <v>2227</v>
      </c>
      <c r="C163" t="s">
        <v>2089</v>
      </c>
      <c r="D163" t="s">
        <v>2345</v>
      </c>
      <c r="E163" t="str">
        <f>+CONCATENATE(D163,". FABRICADO EN ",M163,". PUNTERA DE ",N163,". PLANTILLA ",O163,". SUELA DE ",P163)</f>
        <v>ZAPATO CHEROKEEGR S1+P+CI+SRC+ESD Gris  37. FABRICADO EN PIEL SERRAJE + REJILLA. PUNTERA DE Fibra de vidrio. PLANTILLA Antiperforación textil. SUELA DE PU/PU DOBLE DENSIDAD</v>
      </c>
      <c r="F163" t="str">
        <f>PROPER(E163)</f>
        <v>Zapato Cherokeegr S1+P+Ci+Src+Esd Gris  37. Fabricado En Piel Serraje + Rejilla. Puntera De Fibra De Vidrio. Plantilla Antiperforación Textil. Suela De Pu/Pu Doble Densidad</v>
      </c>
      <c r="G163" s="24">
        <v>23.3</v>
      </c>
      <c r="H163" s="24">
        <f>+G163/0.72</f>
        <v>32.361111111111114</v>
      </c>
      <c r="I163" s="24">
        <f>+H163*1.21</f>
        <v>39.156944444444449</v>
      </c>
      <c r="J163" s="24" t="s">
        <v>2359</v>
      </c>
      <c r="K163" s="24" t="s">
        <v>2371</v>
      </c>
      <c r="L163" t="s">
        <v>2104</v>
      </c>
      <c r="M163" t="s">
        <v>1420</v>
      </c>
      <c r="N163" t="s">
        <v>1425</v>
      </c>
      <c r="O163" t="s">
        <v>1428</v>
      </c>
      <c r="P163" t="s">
        <v>1429</v>
      </c>
      <c r="Q163">
        <v>37</v>
      </c>
      <c r="R163" s="3">
        <v>8457780347962</v>
      </c>
      <c r="S163" s="3">
        <v>18457780347969</v>
      </c>
      <c r="T163" t="s">
        <v>2169</v>
      </c>
    </row>
    <row r="164" spans="1:20" x14ac:dyDescent="0.25">
      <c r="A164" t="s">
        <v>2103</v>
      </c>
      <c r="B164" t="s">
        <v>2227</v>
      </c>
      <c r="C164" t="s">
        <v>2090</v>
      </c>
      <c r="D164" t="s">
        <v>2346</v>
      </c>
      <c r="E164" t="str">
        <f>+CONCATENATE(D164,". FABRICADO EN ",M164,". PUNTERA DE ",N164,". PLANTILLA ",O164,". SUELA DE ",P164)</f>
        <v>ZAPATO CHEROKEEGR S1+P+CI+SRC+ESD Gris  38. FABRICADO EN PIEL SERRAJE + REJILLA. PUNTERA DE Fibra de vidrio. PLANTILLA Antiperforación textil. SUELA DE PU/PU DOBLE DENSIDAD</v>
      </c>
      <c r="F164" t="str">
        <f>PROPER(E164)</f>
        <v>Zapato Cherokeegr S1+P+Ci+Src+Esd Gris  38. Fabricado En Piel Serraje + Rejilla. Puntera De Fibra De Vidrio. Plantilla Antiperforación Textil. Suela De Pu/Pu Doble Densidad</v>
      </c>
      <c r="G164" s="24">
        <v>23.3</v>
      </c>
      <c r="H164" s="24">
        <f>+G164/0.72</f>
        <v>32.361111111111114</v>
      </c>
      <c r="I164" s="24">
        <f>+H164*1.21</f>
        <v>39.156944444444449</v>
      </c>
      <c r="J164" s="24" t="s">
        <v>2359</v>
      </c>
      <c r="K164" s="24" t="s">
        <v>2371</v>
      </c>
      <c r="L164" t="s">
        <v>2104</v>
      </c>
      <c r="M164" t="s">
        <v>1420</v>
      </c>
      <c r="N164" t="s">
        <v>1425</v>
      </c>
      <c r="O164" t="s">
        <v>1428</v>
      </c>
      <c r="P164" t="s">
        <v>1429</v>
      </c>
      <c r="Q164">
        <v>38</v>
      </c>
      <c r="R164" s="3">
        <v>8457780347979</v>
      </c>
      <c r="S164" s="3">
        <v>18457780347976</v>
      </c>
      <c r="T164" t="s">
        <v>2169</v>
      </c>
    </row>
    <row r="165" spans="1:20" x14ac:dyDescent="0.25">
      <c r="A165" t="s">
        <v>2103</v>
      </c>
      <c r="B165" t="s">
        <v>2227</v>
      </c>
      <c r="C165" t="s">
        <v>2091</v>
      </c>
      <c r="D165" t="s">
        <v>2347</v>
      </c>
      <c r="E165" t="str">
        <f>+CONCATENATE(D165,". FABRICADO EN ",M165,". PUNTERA DE ",N165,". PLANTILLA ",O165,". SUELA DE ",P165)</f>
        <v>ZAPATO CHEROKEEGR S1+P+CI+SRC+ESD Gris  39. FABRICADO EN PIEL SERRAJE + REJILLA. PUNTERA DE Fibra de vidrio. PLANTILLA Antiperforación textil. SUELA DE PU/PU DOBLE DENSIDAD</v>
      </c>
      <c r="F165" t="str">
        <f>PROPER(E165)</f>
        <v>Zapato Cherokeegr S1+P+Ci+Src+Esd Gris  39. Fabricado En Piel Serraje + Rejilla. Puntera De Fibra De Vidrio. Plantilla Antiperforación Textil. Suela De Pu/Pu Doble Densidad</v>
      </c>
      <c r="G165" s="24">
        <v>23.3</v>
      </c>
      <c r="H165" s="24">
        <f>+G165/0.72</f>
        <v>32.361111111111114</v>
      </c>
      <c r="I165" s="24">
        <f>+H165*1.21</f>
        <v>39.156944444444449</v>
      </c>
      <c r="J165" s="24" t="s">
        <v>2359</v>
      </c>
      <c r="K165" s="24" t="s">
        <v>2371</v>
      </c>
      <c r="L165" t="s">
        <v>2104</v>
      </c>
      <c r="M165" t="s">
        <v>1420</v>
      </c>
      <c r="N165" t="s">
        <v>1425</v>
      </c>
      <c r="O165" t="s">
        <v>1428</v>
      </c>
      <c r="P165" t="s">
        <v>1429</v>
      </c>
      <c r="Q165">
        <v>39</v>
      </c>
      <c r="R165" s="3">
        <v>8457780347986</v>
      </c>
      <c r="S165" s="3">
        <v>18457780347983</v>
      </c>
      <c r="T165" t="s">
        <v>2169</v>
      </c>
    </row>
    <row r="166" spans="1:20" x14ac:dyDescent="0.25">
      <c r="A166" t="s">
        <v>2103</v>
      </c>
      <c r="B166" t="s">
        <v>2227</v>
      </c>
      <c r="C166" t="s">
        <v>2092</v>
      </c>
      <c r="D166" t="s">
        <v>2348</v>
      </c>
      <c r="E166" t="str">
        <f>+CONCATENATE(D166,". FABRICADO EN ",M166,". PUNTERA DE ",N166,". PLANTILLA ",O166,". SUELA DE ",P166)</f>
        <v>ZAPATO CHEROKEEGR S1+P+CI+SRC+ESD Gris  40. FABRICADO EN PIEL SERRAJE + REJILLA. PUNTERA DE Fibra de vidrio. PLANTILLA Antiperforación textil. SUELA DE PU/PU DOBLE DENSIDAD</v>
      </c>
      <c r="F166" t="str">
        <f>PROPER(E166)</f>
        <v>Zapato Cherokeegr S1+P+Ci+Src+Esd Gris  40. Fabricado En Piel Serraje + Rejilla. Puntera De Fibra De Vidrio. Plantilla Antiperforación Textil. Suela De Pu/Pu Doble Densidad</v>
      </c>
      <c r="G166" s="24">
        <v>23.3</v>
      </c>
      <c r="H166" s="24">
        <f>+G166/0.72</f>
        <v>32.361111111111114</v>
      </c>
      <c r="I166" s="24">
        <f>+H166*1.21</f>
        <v>39.156944444444449</v>
      </c>
      <c r="J166" s="24" t="s">
        <v>2359</v>
      </c>
      <c r="K166" s="24" t="s">
        <v>2371</v>
      </c>
      <c r="L166" t="s">
        <v>2104</v>
      </c>
      <c r="M166" t="s">
        <v>1420</v>
      </c>
      <c r="N166" t="s">
        <v>1425</v>
      </c>
      <c r="O166" t="s">
        <v>1428</v>
      </c>
      <c r="P166" t="s">
        <v>1429</v>
      </c>
      <c r="Q166">
        <v>40</v>
      </c>
      <c r="R166" s="3">
        <v>8457780347993</v>
      </c>
      <c r="S166" s="3">
        <v>18457780347990</v>
      </c>
      <c r="T166" t="s">
        <v>2169</v>
      </c>
    </row>
    <row r="167" spans="1:20" x14ac:dyDescent="0.25">
      <c r="A167" t="s">
        <v>2103</v>
      </c>
      <c r="B167" t="s">
        <v>2227</v>
      </c>
      <c r="C167" t="s">
        <v>2093</v>
      </c>
      <c r="D167" t="s">
        <v>2349</v>
      </c>
      <c r="E167" t="str">
        <f>+CONCATENATE(D167,". FABRICADO EN ",M167,". PUNTERA DE ",N167,". PLANTILLA ",O167,". SUELA DE ",P167)</f>
        <v>ZAPATO CHEROKEEGR S1+P+CI+SRC+ESD Gris  41. FABRICADO EN PIEL SERRAJE + REJILLA. PUNTERA DE Fibra de vidrio. PLANTILLA Antiperforación textil. SUELA DE PU/PU DOBLE DENSIDAD</v>
      </c>
      <c r="F167" t="str">
        <f>PROPER(E167)</f>
        <v>Zapato Cherokeegr S1+P+Ci+Src+Esd Gris  41. Fabricado En Piel Serraje + Rejilla. Puntera De Fibra De Vidrio. Plantilla Antiperforación Textil. Suela De Pu/Pu Doble Densidad</v>
      </c>
      <c r="G167" s="24">
        <v>23.3</v>
      </c>
      <c r="H167" s="24">
        <f>+G167/0.72</f>
        <v>32.361111111111114</v>
      </c>
      <c r="I167" s="24">
        <f>+H167*1.21</f>
        <v>39.156944444444449</v>
      </c>
      <c r="J167" s="24" t="s">
        <v>2359</v>
      </c>
      <c r="K167" s="24" t="s">
        <v>2371</v>
      </c>
      <c r="L167" t="s">
        <v>2104</v>
      </c>
      <c r="M167" t="s">
        <v>1420</v>
      </c>
      <c r="N167" t="s">
        <v>1425</v>
      </c>
      <c r="O167" t="s">
        <v>1428</v>
      </c>
      <c r="P167" t="s">
        <v>1429</v>
      </c>
      <c r="Q167">
        <v>41</v>
      </c>
      <c r="R167" s="3">
        <v>8457780348006</v>
      </c>
      <c r="S167" s="3">
        <v>18457780348003</v>
      </c>
      <c r="T167" t="s">
        <v>2169</v>
      </c>
    </row>
    <row r="168" spans="1:20" x14ac:dyDescent="0.25">
      <c r="A168" t="s">
        <v>2103</v>
      </c>
      <c r="B168" t="s">
        <v>2227</v>
      </c>
      <c r="C168" t="s">
        <v>2094</v>
      </c>
      <c r="D168" t="s">
        <v>2350</v>
      </c>
      <c r="E168" t="str">
        <f>+CONCATENATE(D168,". FABRICADO EN ",M168,". PUNTERA DE ",N168,". PLANTILLA ",O168,". SUELA DE ",P168)</f>
        <v>ZAPATO CHEROKEEGR S1+P+CI+SRC+ESD Gris  42. FABRICADO EN PIEL SERRAJE + REJILLA. PUNTERA DE Fibra de vidrio. PLANTILLA Antiperforación textil. SUELA DE PU/PU DOBLE DENSIDAD</v>
      </c>
      <c r="F168" t="str">
        <f>PROPER(E168)</f>
        <v>Zapato Cherokeegr S1+P+Ci+Src+Esd Gris  42. Fabricado En Piel Serraje + Rejilla. Puntera De Fibra De Vidrio. Plantilla Antiperforación Textil. Suela De Pu/Pu Doble Densidad</v>
      </c>
      <c r="G168" s="24">
        <v>23.3</v>
      </c>
      <c r="H168" s="24">
        <f>+G168/0.72</f>
        <v>32.361111111111114</v>
      </c>
      <c r="I168" s="24">
        <f>+H168*1.21</f>
        <v>39.156944444444449</v>
      </c>
      <c r="J168" s="24" t="s">
        <v>2359</v>
      </c>
      <c r="K168" s="24" t="s">
        <v>2371</v>
      </c>
      <c r="L168" t="s">
        <v>2104</v>
      </c>
      <c r="M168" t="s">
        <v>1420</v>
      </c>
      <c r="N168" t="s">
        <v>1425</v>
      </c>
      <c r="O168" t="s">
        <v>1428</v>
      </c>
      <c r="P168" t="s">
        <v>1429</v>
      </c>
      <c r="Q168">
        <v>42</v>
      </c>
      <c r="R168" s="3">
        <v>8457780348013</v>
      </c>
      <c r="S168" s="3">
        <v>18457780348010</v>
      </c>
      <c r="T168" t="s">
        <v>2169</v>
      </c>
    </row>
    <row r="169" spans="1:20" x14ac:dyDescent="0.25">
      <c r="A169" t="s">
        <v>2103</v>
      </c>
      <c r="B169" t="s">
        <v>2227</v>
      </c>
      <c r="C169" t="s">
        <v>2095</v>
      </c>
      <c r="D169" t="s">
        <v>2351</v>
      </c>
      <c r="E169" t="str">
        <f>+CONCATENATE(D169,". FABRICADO EN ",M169,". PUNTERA DE ",N169,". PLANTILLA ",O169,". SUELA DE ",P169)</f>
        <v>ZAPATO CHEROKEEGR S1+P+CI+SRC+ESD Gris  43. FABRICADO EN PIEL SERRAJE + REJILLA. PUNTERA DE Fibra de vidrio. PLANTILLA Antiperforación textil. SUELA DE PU/PU DOBLE DENSIDAD</v>
      </c>
      <c r="F169" t="str">
        <f>PROPER(E169)</f>
        <v>Zapato Cherokeegr S1+P+Ci+Src+Esd Gris  43. Fabricado En Piel Serraje + Rejilla. Puntera De Fibra De Vidrio. Plantilla Antiperforación Textil. Suela De Pu/Pu Doble Densidad</v>
      </c>
      <c r="G169" s="24">
        <v>23.3</v>
      </c>
      <c r="H169" s="24">
        <f>+G169/0.72</f>
        <v>32.361111111111114</v>
      </c>
      <c r="I169" s="24">
        <f>+H169*1.21</f>
        <v>39.156944444444449</v>
      </c>
      <c r="J169" s="24" t="s">
        <v>2359</v>
      </c>
      <c r="K169" s="24" t="s">
        <v>2371</v>
      </c>
      <c r="L169" t="s">
        <v>2104</v>
      </c>
      <c r="M169" t="s">
        <v>1420</v>
      </c>
      <c r="N169" t="s">
        <v>1425</v>
      </c>
      <c r="O169" t="s">
        <v>1428</v>
      </c>
      <c r="P169" t="s">
        <v>1429</v>
      </c>
      <c r="Q169">
        <v>43</v>
      </c>
      <c r="R169" s="3">
        <v>8457780348020</v>
      </c>
      <c r="S169" s="3">
        <v>18457780348027</v>
      </c>
      <c r="T169" t="s">
        <v>2169</v>
      </c>
    </row>
    <row r="170" spans="1:20" x14ac:dyDescent="0.25">
      <c r="A170" t="s">
        <v>2103</v>
      </c>
      <c r="B170" t="s">
        <v>2227</v>
      </c>
      <c r="C170" t="s">
        <v>2096</v>
      </c>
      <c r="D170" t="s">
        <v>2352</v>
      </c>
      <c r="E170" t="str">
        <f>+CONCATENATE(D170,". FABRICADO EN ",M170,". PUNTERA DE ",N170,". PLANTILLA ",O170,". SUELA DE ",P170)</f>
        <v>ZAPATO CHEROKEEGR S1+P+CI+SRC+ESD Gris  44. FABRICADO EN PIEL SERRAJE + REJILLA. PUNTERA DE Fibra de vidrio. PLANTILLA Antiperforación textil. SUELA DE PU/PU DOBLE DENSIDAD</v>
      </c>
      <c r="F170" t="str">
        <f>PROPER(E170)</f>
        <v>Zapato Cherokeegr S1+P+Ci+Src+Esd Gris  44. Fabricado En Piel Serraje + Rejilla. Puntera De Fibra De Vidrio. Plantilla Antiperforación Textil. Suela De Pu/Pu Doble Densidad</v>
      </c>
      <c r="G170" s="24">
        <v>23.3</v>
      </c>
      <c r="H170" s="24">
        <f>+G170/0.72</f>
        <v>32.361111111111114</v>
      </c>
      <c r="I170" s="24">
        <f>+H170*1.21</f>
        <v>39.156944444444449</v>
      </c>
      <c r="J170" s="24" t="s">
        <v>2359</v>
      </c>
      <c r="K170" s="24" t="s">
        <v>2371</v>
      </c>
      <c r="L170" t="s">
        <v>2104</v>
      </c>
      <c r="M170" t="s">
        <v>1420</v>
      </c>
      <c r="N170" t="s">
        <v>1425</v>
      </c>
      <c r="O170" t="s">
        <v>1428</v>
      </c>
      <c r="P170" t="s">
        <v>1429</v>
      </c>
      <c r="Q170">
        <v>44</v>
      </c>
      <c r="R170" s="3">
        <v>8457780348037</v>
      </c>
      <c r="S170" s="3">
        <v>18457780348034</v>
      </c>
      <c r="T170" t="s">
        <v>2169</v>
      </c>
    </row>
    <row r="171" spans="1:20" x14ac:dyDescent="0.25">
      <c r="A171" t="s">
        <v>2103</v>
      </c>
      <c r="B171" t="s">
        <v>2227</v>
      </c>
      <c r="C171" t="s">
        <v>2097</v>
      </c>
      <c r="D171" t="s">
        <v>2353</v>
      </c>
      <c r="E171" t="str">
        <f>+CONCATENATE(D171,". FABRICADO EN ",M171,". PUNTERA DE ",N171,". PLANTILLA ",O171,". SUELA DE ",P171)</f>
        <v>ZAPATO CHEROKEEGR S1+P+CI+SRC+ESD Gris  45. FABRICADO EN PIEL SERRAJE + REJILLA. PUNTERA DE Fibra de vidrio. PLANTILLA Antiperforación textil. SUELA DE PU/PU DOBLE DENSIDAD</v>
      </c>
      <c r="F171" t="str">
        <f>PROPER(E171)</f>
        <v>Zapato Cherokeegr S1+P+Ci+Src+Esd Gris  45. Fabricado En Piel Serraje + Rejilla. Puntera De Fibra De Vidrio. Plantilla Antiperforación Textil. Suela De Pu/Pu Doble Densidad</v>
      </c>
      <c r="G171" s="24">
        <v>23.3</v>
      </c>
      <c r="H171" s="24">
        <f>+G171/0.72</f>
        <v>32.361111111111114</v>
      </c>
      <c r="I171" s="24">
        <f>+H171*1.21</f>
        <v>39.156944444444449</v>
      </c>
      <c r="J171" s="24" t="s">
        <v>2359</v>
      </c>
      <c r="K171" s="24" t="s">
        <v>2371</v>
      </c>
      <c r="L171" t="s">
        <v>2104</v>
      </c>
      <c r="M171" t="s">
        <v>1420</v>
      </c>
      <c r="N171" t="s">
        <v>1425</v>
      </c>
      <c r="O171" t="s">
        <v>1428</v>
      </c>
      <c r="P171" t="s">
        <v>1429</v>
      </c>
      <c r="Q171">
        <v>45</v>
      </c>
      <c r="R171" s="3">
        <v>8457780348044</v>
      </c>
      <c r="S171" s="3">
        <v>18457780348041</v>
      </c>
      <c r="T171" t="s">
        <v>2169</v>
      </c>
    </row>
    <row r="172" spans="1:20" x14ac:dyDescent="0.25">
      <c r="A172" t="s">
        <v>2103</v>
      </c>
      <c r="B172" t="s">
        <v>2227</v>
      </c>
      <c r="C172" t="s">
        <v>2098</v>
      </c>
      <c r="D172" t="s">
        <v>2354</v>
      </c>
      <c r="E172" t="str">
        <f>+CONCATENATE(D172,". FABRICADO EN ",M172,". PUNTERA DE ",N172,". PLANTILLA ",O172,". SUELA DE ",P172)</f>
        <v>ZAPATO CHEROKEEGR S1+P+CI+SRC+ESD Gris  46. FABRICADO EN PIEL SERRAJE + REJILLA. PUNTERA DE Fibra de vidrio. PLANTILLA Antiperforación textil. SUELA DE PU/PU DOBLE DENSIDAD</v>
      </c>
      <c r="F172" t="str">
        <f>PROPER(E172)</f>
        <v>Zapato Cherokeegr S1+P+Ci+Src+Esd Gris  46. Fabricado En Piel Serraje + Rejilla. Puntera De Fibra De Vidrio. Plantilla Antiperforación Textil. Suela De Pu/Pu Doble Densidad</v>
      </c>
      <c r="G172" s="24">
        <v>23.3</v>
      </c>
      <c r="H172" s="24">
        <f>+G172/0.72</f>
        <v>32.361111111111114</v>
      </c>
      <c r="I172" s="24">
        <f>+H172*1.21</f>
        <v>39.156944444444449</v>
      </c>
      <c r="J172" s="24" t="s">
        <v>2359</v>
      </c>
      <c r="K172" s="24" t="s">
        <v>2371</v>
      </c>
      <c r="L172" t="s">
        <v>2104</v>
      </c>
      <c r="M172" t="s">
        <v>1420</v>
      </c>
      <c r="N172" t="s">
        <v>1425</v>
      </c>
      <c r="O172" t="s">
        <v>1428</v>
      </c>
      <c r="P172" t="s">
        <v>1429</v>
      </c>
      <c r="Q172">
        <v>46</v>
      </c>
      <c r="R172" s="3">
        <v>8457780348051</v>
      </c>
      <c r="S172" s="3">
        <v>18457780348058</v>
      </c>
      <c r="T172" t="s">
        <v>2169</v>
      </c>
    </row>
    <row r="173" spans="1:20" x14ac:dyDescent="0.25">
      <c r="A173" t="s">
        <v>2103</v>
      </c>
      <c r="B173" t="s">
        <v>2227</v>
      </c>
      <c r="C173" t="s">
        <v>2099</v>
      </c>
      <c r="D173" t="s">
        <v>2355</v>
      </c>
      <c r="E173" t="str">
        <f>+CONCATENATE(D173,". FABRICADO EN ",M173,". PUNTERA DE ",N173,". PLANTILLA ",O173,". SUELA DE ",P173)</f>
        <v>ZAPATO CHEROKEEGR S1+P+CI+SRC+ESD Gris  47. FABRICADO EN PIEL SERRAJE + REJILLA. PUNTERA DE Fibra de vidrio. PLANTILLA Antiperforación textil. SUELA DE PU/PU DOBLE DENSIDAD</v>
      </c>
      <c r="F173" t="str">
        <f>PROPER(E173)</f>
        <v>Zapato Cherokeegr S1+P+Ci+Src+Esd Gris  47. Fabricado En Piel Serraje + Rejilla. Puntera De Fibra De Vidrio. Plantilla Antiperforación Textil. Suela De Pu/Pu Doble Densidad</v>
      </c>
      <c r="G173" s="24">
        <v>23.3</v>
      </c>
      <c r="H173" s="24">
        <f>+G173/0.72</f>
        <v>32.361111111111114</v>
      </c>
      <c r="I173" s="24">
        <f>+H173*1.21</f>
        <v>39.156944444444449</v>
      </c>
      <c r="J173" s="24" t="s">
        <v>2359</v>
      </c>
      <c r="K173" s="24" t="s">
        <v>2371</v>
      </c>
      <c r="L173" t="s">
        <v>2104</v>
      </c>
      <c r="M173" t="s">
        <v>1420</v>
      </c>
      <c r="N173" t="s">
        <v>1425</v>
      </c>
      <c r="O173" t="s">
        <v>1428</v>
      </c>
      <c r="P173" t="s">
        <v>1429</v>
      </c>
      <c r="Q173">
        <v>47</v>
      </c>
      <c r="R173" s="3">
        <v>8457780348068</v>
      </c>
      <c r="S173" s="3">
        <v>18457780348065</v>
      </c>
      <c r="T173" t="s">
        <v>2169</v>
      </c>
    </row>
    <row r="174" spans="1:20" x14ac:dyDescent="0.25">
      <c r="A174" t="s">
        <v>2103</v>
      </c>
      <c r="B174" t="s">
        <v>2227</v>
      </c>
      <c r="C174" t="s">
        <v>2100</v>
      </c>
      <c r="D174" t="s">
        <v>2356</v>
      </c>
      <c r="E174" t="str">
        <f>+CONCATENATE(D174,". FABRICADO EN ",M174,". PUNTERA DE ",N174,". PLANTILLA ",O174,". SUELA DE ",P174)</f>
        <v>ZAPATO CHEROKEEGR S1+P+CI+SRC+ESD Gris  48. FABRICADO EN PIEL SERRAJE + REJILLA. PUNTERA DE Fibra de vidrio. PLANTILLA Antiperforación textil. SUELA DE PU/PU DOBLE DENSIDAD</v>
      </c>
      <c r="F174" t="str">
        <f>PROPER(E174)</f>
        <v>Zapato Cherokeegr S1+P+Ci+Src+Esd Gris  48. Fabricado En Piel Serraje + Rejilla. Puntera De Fibra De Vidrio. Plantilla Antiperforación Textil. Suela De Pu/Pu Doble Densidad</v>
      </c>
      <c r="G174" s="24">
        <v>23.3</v>
      </c>
      <c r="H174" s="24">
        <f>+G174/0.72</f>
        <v>32.361111111111114</v>
      </c>
      <c r="I174" s="24">
        <f>+H174*1.21</f>
        <v>39.156944444444449</v>
      </c>
      <c r="J174" s="24" t="s">
        <v>2359</v>
      </c>
      <c r="K174" s="24" t="s">
        <v>2371</v>
      </c>
      <c r="L174" t="s">
        <v>2104</v>
      </c>
      <c r="M174" t="s">
        <v>1420</v>
      </c>
      <c r="N174" t="s">
        <v>1425</v>
      </c>
      <c r="O174" t="s">
        <v>1428</v>
      </c>
      <c r="P174" t="s">
        <v>1429</v>
      </c>
      <c r="Q174">
        <v>48</v>
      </c>
      <c r="R174" s="3">
        <v>8457780348075</v>
      </c>
      <c r="S174" s="3">
        <v>18457780348072</v>
      </c>
      <c r="T174" t="s">
        <v>2169</v>
      </c>
    </row>
    <row r="175" spans="1:20" x14ac:dyDescent="0.25">
      <c r="A175" t="s">
        <v>2103</v>
      </c>
      <c r="B175" t="s">
        <v>2227</v>
      </c>
      <c r="C175" t="s">
        <v>2101</v>
      </c>
      <c r="D175" t="s">
        <v>2357</v>
      </c>
      <c r="E175" t="str">
        <f>+CONCATENATE(D175,". FABRICADO EN ",M175,". PUNTERA DE ",N175,". PLANTILLA ",O175,". SUELA DE ",P175)</f>
        <v>ZAPATO CHEROKEEGR S1+P+CI+SRC+ESD Gris  49. FABRICADO EN PIEL SERRAJE + REJILLA. PUNTERA DE Fibra de vidrio. PLANTILLA Antiperforación textil. SUELA DE PU/PU DOBLE DENSIDAD</v>
      </c>
      <c r="F175" t="str">
        <f>PROPER(E175)</f>
        <v>Zapato Cherokeegr S1+P+Ci+Src+Esd Gris  49. Fabricado En Piel Serraje + Rejilla. Puntera De Fibra De Vidrio. Plantilla Antiperforación Textil. Suela De Pu/Pu Doble Densidad</v>
      </c>
      <c r="G175" s="24">
        <v>23.3</v>
      </c>
      <c r="H175" s="24">
        <f>+G175/0.72</f>
        <v>32.361111111111114</v>
      </c>
      <c r="I175" s="24">
        <f>+H175*1.21</f>
        <v>39.156944444444449</v>
      </c>
      <c r="J175" s="24" t="s">
        <v>2359</v>
      </c>
      <c r="K175" s="24" t="s">
        <v>2371</v>
      </c>
      <c r="L175" t="s">
        <v>2104</v>
      </c>
      <c r="M175" t="s">
        <v>1420</v>
      </c>
      <c r="N175" t="s">
        <v>1425</v>
      </c>
      <c r="O175" t="s">
        <v>1428</v>
      </c>
      <c r="P175" t="s">
        <v>1429</v>
      </c>
      <c r="Q175">
        <v>49</v>
      </c>
      <c r="R175" s="3">
        <v>8457780348082</v>
      </c>
      <c r="S175" s="3">
        <v>18457780348089</v>
      </c>
      <c r="T175" t="s">
        <v>2169</v>
      </c>
    </row>
    <row r="176" spans="1:20" x14ac:dyDescent="0.25">
      <c r="A176" t="s">
        <v>2103</v>
      </c>
      <c r="B176" t="s">
        <v>2227</v>
      </c>
      <c r="C176" t="s">
        <v>2102</v>
      </c>
      <c r="D176" t="s">
        <v>2358</v>
      </c>
      <c r="E176" t="str">
        <f>+CONCATENATE(D176,". FABRICADO EN ",M176,". PUNTERA DE ",N176,". PLANTILLA ",O176,". SUELA DE ",P176)</f>
        <v>ZAPATO CHEROKEEGR S1+P+CI+SRC+ESD Gris  50. FABRICADO EN PIEL SERRAJE + REJILLA. PUNTERA DE Fibra de vidrio. PLANTILLA Antiperforación textil. SUELA DE PU/PU DOBLE DENSIDAD</v>
      </c>
      <c r="F176" t="str">
        <f>PROPER(E176)</f>
        <v>Zapato Cherokeegr S1+P+Ci+Src+Esd Gris  50. Fabricado En Piel Serraje + Rejilla. Puntera De Fibra De Vidrio. Plantilla Antiperforación Textil. Suela De Pu/Pu Doble Densidad</v>
      </c>
      <c r="G176" s="24">
        <v>23.3</v>
      </c>
      <c r="H176" s="24">
        <f>+G176/0.72</f>
        <v>32.361111111111114</v>
      </c>
      <c r="I176" s="24">
        <f>+H176*1.21</f>
        <v>39.156944444444449</v>
      </c>
      <c r="J176" s="24" t="s">
        <v>2359</v>
      </c>
      <c r="K176" s="24" t="s">
        <v>2371</v>
      </c>
      <c r="L176" t="s">
        <v>2104</v>
      </c>
      <c r="M176" t="s">
        <v>1420</v>
      </c>
      <c r="N176" t="s">
        <v>1425</v>
      </c>
      <c r="O176" t="s">
        <v>1428</v>
      </c>
      <c r="P176" t="s">
        <v>1429</v>
      </c>
      <c r="Q176">
        <v>50</v>
      </c>
      <c r="R176" s="3">
        <v>8457780348099</v>
      </c>
      <c r="S176" s="3">
        <v>18457780348096</v>
      </c>
      <c r="T176" t="s">
        <v>2169</v>
      </c>
    </row>
    <row r="177" spans="1:21" x14ac:dyDescent="0.25">
      <c r="A177" t="s">
        <v>2133</v>
      </c>
      <c r="B177" t="s">
        <v>2228</v>
      </c>
      <c r="C177" t="s">
        <v>2105</v>
      </c>
      <c r="D177" t="s">
        <v>2106</v>
      </c>
      <c r="E177" t="str">
        <f>+CONCATENATE(D177,". FABRICADO EN ",M177,". PUNTERA DE ",N177,". PLANTILLA ",O177,". SUELA DE ",P177)</f>
        <v>BOTA SBPS E FO CI HI WPA WR HRO LG SC SR Negro/Rojo 35. FABRICADO EN POLIAMIDA + MICROFIBRA. PUNTERA DE Fibra de vidrio. PLANTILLA Antiperforación textil. SUELA DE PU/CAUCHO NITRILO</v>
      </c>
      <c r="F177" t="str">
        <f>PROPER(E177)</f>
        <v>Bota Sbps E Fo Ci Hi Wpa Wr Hro Lg Sc Sr Negro/Rojo 35. Fabricado En Poliamida + Microfibra. Puntera De Fibra De Vidrio. Plantilla Antiperforación Textil. Suela De Pu/Caucho Nitrilo</v>
      </c>
      <c r="G177" s="24">
        <f>VLOOKUP(B177,Tabla1[],2,0)</f>
        <v>39.9</v>
      </c>
      <c r="H177" s="24">
        <f>+G177/0.72</f>
        <v>55.416666666666664</v>
      </c>
      <c r="I177" s="24">
        <f>+H177*1.21</f>
        <v>67.05416666666666</v>
      </c>
      <c r="J177" s="24" t="s">
        <v>2326</v>
      </c>
      <c r="K177" s="24" t="s">
        <v>2370</v>
      </c>
      <c r="L177" t="s">
        <v>1401</v>
      </c>
      <c r="M177" t="s">
        <v>2164</v>
      </c>
      <c r="N177" t="s">
        <v>1425</v>
      </c>
      <c r="O177" t="s">
        <v>1428</v>
      </c>
      <c r="P177" t="s">
        <v>2134</v>
      </c>
      <c r="Q177">
        <v>35</v>
      </c>
      <c r="R177" s="3">
        <v>8457780348426</v>
      </c>
      <c r="S177" s="3">
        <v>18457780348423</v>
      </c>
      <c r="T177" t="s">
        <v>2168</v>
      </c>
    </row>
    <row r="178" spans="1:21" x14ac:dyDescent="0.25">
      <c r="A178" t="s">
        <v>2133</v>
      </c>
      <c r="B178" t="s">
        <v>2228</v>
      </c>
      <c r="C178" t="s">
        <v>2107</v>
      </c>
      <c r="D178" t="s">
        <v>2108</v>
      </c>
      <c r="E178" t="str">
        <f>+CONCATENATE(D178,". FABRICADO EN ",M178,". PUNTERA DE ",N178,". PLANTILLA ",O178,". SUELA DE ",P178)</f>
        <v>BOTA SBPS E FO CI HI WPA WR HRO LG SC SR Negro/Rojo 36. FABRICADO EN POLIAMIDA + MICROFIBRA. PUNTERA DE Fibra de vidrio. PLANTILLA Antiperforación textil. SUELA DE PU/CAUCHO NITRILO</v>
      </c>
      <c r="F178" t="str">
        <f>PROPER(E178)</f>
        <v>Bota Sbps E Fo Ci Hi Wpa Wr Hro Lg Sc Sr Negro/Rojo 36. Fabricado En Poliamida + Microfibra. Puntera De Fibra De Vidrio. Plantilla Antiperforación Textil. Suela De Pu/Caucho Nitrilo</v>
      </c>
      <c r="G178" s="24">
        <f>VLOOKUP(B178,Tabla1[],2,0)</f>
        <v>39.9</v>
      </c>
      <c r="H178" s="24">
        <f>+G178/0.72</f>
        <v>55.416666666666664</v>
      </c>
      <c r="I178" s="24">
        <f>+H178*1.21</f>
        <v>67.05416666666666</v>
      </c>
      <c r="J178" s="24" t="s">
        <v>2326</v>
      </c>
      <c r="K178" s="24" t="s">
        <v>2370</v>
      </c>
      <c r="L178" t="s">
        <v>1401</v>
      </c>
      <c r="M178" t="s">
        <v>2164</v>
      </c>
      <c r="N178" t="s">
        <v>1425</v>
      </c>
      <c r="O178" t="s">
        <v>1428</v>
      </c>
      <c r="P178" t="s">
        <v>2134</v>
      </c>
      <c r="Q178">
        <v>36</v>
      </c>
      <c r="R178" s="3">
        <v>8457780348433</v>
      </c>
      <c r="S178" s="3">
        <v>18457780348430</v>
      </c>
      <c r="T178" t="s">
        <v>2168</v>
      </c>
    </row>
    <row r="179" spans="1:21" x14ac:dyDescent="0.25">
      <c r="A179" t="s">
        <v>2133</v>
      </c>
      <c r="B179" t="s">
        <v>2228</v>
      </c>
      <c r="C179" t="s">
        <v>2109</v>
      </c>
      <c r="D179" t="s">
        <v>2110</v>
      </c>
      <c r="E179" t="str">
        <f>+CONCATENATE(D179,". FABRICADO EN ",M179,". PUNTERA DE ",N179,". PLANTILLA ",O179,". SUELA DE ",P179)</f>
        <v>BOTA SBPS E FO CI HI WPA WR HRO LG SC SR Negro/Rojo 37. FABRICADO EN POLIAMIDA + MICROFIBRA. PUNTERA DE Fibra de vidrio. PLANTILLA Antiperforación textil. SUELA DE PU/CAUCHO NITRILO</v>
      </c>
      <c r="F179" t="str">
        <f>PROPER(E179)</f>
        <v>Bota Sbps E Fo Ci Hi Wpa Wr Hro Lg Sc Sr Negro/Rojo 37. Fabricado En Poliamida + Microfibra. Puntera De Fibra De Vidrio. Plantilla Antiperforación Textil. Suela De Pu/Caucho Nitrilo</v>
      </c>
      <c r="G179" s="24">
        <f>VLOOKUP(B179,Tabla1[],2,0)</f>
        <v>39.9</v>
      </c>
      <c r="H179" s="24">
        <f>+G179/0.72</f>
        <v>55.416666666666664</v>
      </c>
      <c r="I179" s="24">
        <f>+H179*1.21</f>
        <v>67.05416666666666</v>
      </c>
      <c r="J179" s="24" t="s">
        <v>2326</v>
      </c>
      <c r="K179" s="24" t="s">
        <v>2370</v>
      </c>
      <c r="L179" t="s">
        <v>1401</v>
      </c>
      <c r="M179" t="s">
        <v>2164</v>
      </c>
      <c r="N179" t="s">
        <v>1425</v>
      </c>
      <c r="O179" t="s">
        <v>1428</v>
      </c>
      <c r="P179" t="s">
        <v>2134</v>
      </c>
      <c r="Q179">
        <v>37</v>
      </c>
      <c r="R179" s="3">
        <v>8457780348440</v>
      </c>
      <c r="S179" s="3">
        <v>18457780348447</v>
      </c>
      <c r="T179" t="s">
        <v>2168</v>
      </c>
    </row>
    <row r="180" spans="1:21" x14ac:dyDescent="0.25">
      <c r="A180" t="s">
        <v>2133</v>
      </c>
      <c r="B180" t="s">
        <v>2228</v>
      </c>
      <c r="C180" t="s">
        <v>2111</v>
      </c>
      <c r="D180" t="s">
        <v>2112</v>
      </c>
      <c r="E180" t="str">
        <f>+CONCATENATE(D180,". FABRICADO EN ",M180,". PUNTERA DE ",N180,". PLANTILLA ",O180,". SUELA DE ",P180)</f>
        <v>BOTA SBPS E FO CI HI WPA WR HRO LG SC SR Negro/Rojo 38. FABRICADO EN POLIAMIDA + MICROFIBRA. PUNTERA DE Fibra de vidrio. PLANTILLA Antiperforación textil. SUELA DE PU/CAUCHO NITRILO</v>
      </c>
      <c r="F180" t="str">
        <f>PROPER(E180)</f>
        <v>Bota Sbps E Fo Ci Hi Wpa Wr Hro Lg Sc Sr Negro/Rojo 38. Fabricado En Poliamida + Microfibra. Puntera De Fibra De Vidrio. Plantilla Antiperforación Textil. Suela De Pu/Caucho Nitrilo</v>
      </c>
      <c r="G180" s="24">
        <f>VLOOKUP(B180,Tabla1[],2,0)</f>
        <v>39.9</v>
      </c>
      <c r="H180" s="24">
        <f>+G180/0.72</f>
        <v>55.416666666666664</v>
      </c>
      <c r="I180" s="24">
        <f>+H180*1.21</f>
        <v>67.05416666666666</v>
      </c>
      <c r="J180" s="24" t="s">
        <v>2326</v>
      </c>
      <c r="K180" s="24" t="s">
        <v>2370</v>
      </c>
      <c r="L180" t="s">
        <v>1401</v>
      </c>
      <c r="M180" t="s">
        <v>2164</v>
      </c>
      <c r="N180" t="s">
        <v>1425</v>
      </c>
      <c r="O180" t="s">
        <v>1428</v>
      </c>
      <c r="P180" t="s">
        <v>2134</v>
      </c>
      <c r="Q180">
        <v>38</v>
      </c>
      <c r="R180" s="3">
        <v>8457780348457</v>
      </c>
      <c r="S180" s="3">
        <v>18457780348454</v>
      </c>
      <c r="T180" t="s">
        <v>2168</v>
      </c>
    </row>
    <row r="181" spans="1:21" x14ac:dyDescent="0.25">
      <c r="A181" t="s">
        <v>2133</v>
      </c>
      <c r="B181" t="s">
        <v>2228</v>
      </c>
      <c r="C181" t="s">
        <v>2113</v>
      </c>
      <c r="D181" t="s">
        <v>2114</v>
      </c>
      <c r="E181" t="str">
        <f>+CONCATENATE(D181,". FABRICADO EN ",M181,". PUNTERA DE ",N181,". PLANTILLA ",O181,". SUELA DE ",P181)</f>
        <v>BOTA SBPS E FO CI HI WPA WR HRO LG SC SR Negro/Rojo 39. FABRICADO EN POLIAMIDA + MICROFIBRA. PUNTERA DE Fibra de vidrio. PLANTILLA Antiperforación textil. SUELA DE PU/CAUCHO NITRILO</v>
      </c>
      <c r="F181" t="str">
        <f>PROPER(E181)</f>
        <v>Bota Sbps E Fo Ci Hi Wpa Wr Hro Lg Sc Sr Negro/Rojo 39. Fabricado En Poliamida + Microfibra. Puntera De Fibra De Vidrio. Plantilla Antiperforación Textil. Suela De Pu/Caucho Nitrilo</v>
      </c>
      <c r="G181" s="24">
        <f>VLOOKUP(B181,Tabla1[],2,0)</f>
        <v>39.9</v>
      </c>
      <c r="H181" s="24">
        <f>+G181/0.72</f>
        <v>55.416666666666664</v>
      </c>
      <c r="I181" s="24">
        <f>+H181*1.21</f>
        <v>67.05416666666666</v>
      </c>
      <c r="J181" s="24" t="s">
        <v>2326</v>
      </c>
      <c r="K181" s="24" t="s">
        <v>2370</v>
      </c>
      <c r="L181" t="s">
        <v>1401</v>
      </c>
      <c r="M181" t="s">
        <v>2164</v>
      </c>
      <c r="N181" t="s">
        <v>1425</v>
      </c>
      <c r="O181" t="s">
        <v>1428</v>
      </c>
      <c r="P181" t="s">
        <v>2134</v>
      </c>
      <c r="Q181">
        <v>39</v>
      </c>
      <c r="R181" s="3">
        <v>8457780348464</v>
      </c>
      <c r="S181" s="3">
        <v>18457780348461</v>
      </c>
      <c r="T181" t="s">
        <v>2168</v>
      </c>
    </row>
    <row r="182" spans="1:21" x14ac:dyDescent="0.25">
      <c r="A182" t="s">
        <v>2133</v>
      </c>
      <c r="B182" t="s">
        <v>2228</v>
      </c>
      <c r="C182" t="s">
        <v>2115</v>
      </c>
      <c r="D182" t="s">
        <v>2116</v>
      </c>
      <c r="E182" t="str">
        <f>+CONCATENATE(D182,". FABRICADO EN ",M182,". PUNTERA DE ",N182,". PLANTILLA ",O182,". SUELA DE ",P182)</f>
        <v>BOTA SBPS E FO CI HI WPA WR HRO LG SC SR Negro/Rojo 40. FABRICADO EN POLIAMIDA + MICROFIBRA. PUNTERA DE Fibra de vidrio. PLANTILLA Antiperforación textil. SUELA DE PU/CAUCHO NITRILO</v>
      </c>
      <c r="F182" t="str">
        <f>PROPER(E182)</f>
        <v>Bota Sbps E Fo Ci Hi Wpa Wr Hro Lg Sc Sr Negro/Rojo 40. Fabricado En Poliamida + Microfibra. Puntera De Fibra De Vidrio. Plantilla Antiperforación Textil. Suela De Pu/Caucho Nitrilo</v>
      </c>
      <c r="G182" s="24">
        <f>VLOOKUP(B182,Tabla1[],2,0)</f>
        <v>39.9</v>
      </c>
      <c r="H182" s="24">
        <f>+G182/0.72</f>
        <v>55.416666666666664</v>
      </c>
      <c r="I182" s="24">
        <f>+H182*1.21</f>
        <v>67.05416666666666</v>
      </c>
      <c r="J182" s="24" t="s">
        <v>2326</v>
      </c>
      <c r="K182" s="24" t="s">
        <v>2370</v>
      </c>
      <c r="L182" t="s">
        <v>1401</v>
      </c>
      <c r="M182" t="s">
        <v>2164</v>
      </c>
      <c r="N182" t="s">
        <v>1425</v>
      </c>
      <c r="O182" t="s">
        <v>1428</v>
      </c>
      <c r="P182" t="s">
        <v>2134</v>
      </c>
      <c r="Q182">
        <v>40</v>
      </c>
      <c r="R182" s="3">
        <v>8457780348471</v>
      </c>
      <c r="S182" s="3">
        <v>18457780348478</v>
      </c>
      <c r="T182" t="s">
        <v>2168</v>
      </c>
    </row>
    <row r="183" spans="1:21" x14ac:dyDescent="0.25">
      <c r="A183" t="s">
        <v>2133</v>
      </c>
      <c r="B183" t="s">
        <v>2228</v>
      </c>
      <c r="C183" t="s">
        <v>2117</v>
      </c>
      <c r="D183" t="s">
        <v>2118</v>
      </c>
      <c r="E183" t="str">
        <f>+CONCATENATE(D183,". FABRICADO EN ",M183,". PUNTERA DE ",N183,". PLANTILLA ",O183,". SUELA DE ",P183)</f>
        <v>BOTA SBPS E FO CI HI WPA WR HRO LG SC SR Negro/Rojo 41. FABRICADO EN POLIAMIDA + MICROFIBRA. PUNTERA DE Fibra de vidrio. PLANTILLA Antiperforación textil. SUELA DE PU/CAUCHO NITRILO</v>
      </c>
      <c r="F183" t="str">
        <f>PROPER(E183)</f>
        <v>Bota Sbps E Fo Ci Hi Wpa Wr Hro Lg Sc Sr Negro/Rojo 41. Fabricado En Poliamida + Microfibra. Puntera De Fibra De Vidrio. Plantilla Antiperforación Textil. Suela De Pu/Caucho Nitrilo</v>
      </c>
      <c r="G183" s="24">
        <f>VLOOKUP(B183,Tabla1[],2,0)</f>
        <v>39.9</v>
      </c>
      <c r="H183" s="24">
        <f>+G183/0.72</f>
        <v>55.416666666666664</v>
      </c>
      <c r="I183" s="24">
        <f>+H183*1.21</f>
        <v>67.05416666666666</v>
      </c>
      <c r="J183" s="24" t="s">
        <v>2326</v>
      </c>
      <c r="K183" s="24" t="s">
        <v>2370</v>
      </c>
      <c r="L183" t="s">
        <v>1401</v>
      </c>
      <c r="M183" t="s">
        <v>2164</v>
      </c>
      <c r="N183" t="s">
        <v>1425</v>
      </c>
      <c r="O183" t="s">
        <v>1428</v>
      </c>
      <c r="P183" t="s">
        <v>2134</v>
      </c>
      <c r="Q183">
        <v>41</v>
      </c>
      <c r="R183" s="3">
        <v>8457780348488</v>
      </c>
      <c r="S183" s="3">
        <v>18457780348485</v>
      </c>
      <c r="T183" t="s">
        <v>2168</v>
      </c>
    </row>
    <row r="184" spans="1:21" x14ac:dyDescent="0.25">
      <c r="A184" t="s">
        <v>2133</v>
      </c>
      <c r="B184" t="s">
        <v>2228</v>
      </c>
      <c r="C184" t="s">
        <v>2119</v>
      </c>
      <c r="D184" t="s">
        <v>2120</v>
      </c>
      <c r="E184" t="str">
        <f>+CONCATENATE(D184,". FABRICADO EN ",M184,". PUNTERA DE ",N184,". PLANTILLA ",O184,". SUELA DE ",P184)</f>
        <v>BOTA SBPS E FO CI HI WPA WR HRO LG SC SR Negro/Rojo 42. FABRICADO EN POLIAMIDA + MICROFIBRA. PUNTERA DE Fibra de vidrio. PLANTILLA Antiperforación textil. SUELA DE PU/CAUCHO NITRILO</v>
      </c>
      <c r="F184" t="str">
        <f>PROPER(E184)</f>
        <v>Bota Sbps E Fo Ci Hi Wpa Wr Hro Lg Sc Sr Negro/Rojo 42. Fabricado En Poliamida + Microfibra. Puntera De Fibra De Vidrio. Plantilla Antiperforación Textil. Suela De Pu/Caucho Nitrilo</v>
      </c>
      <c r="G184" s="24">
        <f>VLOOKUP(B184,Tabla1[],2,0)</f>
        <v>39.9</v>
      </c>
      <c r="H184" s="24">
        <f>+G184/0.72</f>
        <v>55.416666666666664</v>
      </c>
      <c r="I184" s="24">
        <f>+H184*1.21</f>
        <v>67.05416666666666</v>
      </c>
      <c r="J184" s="24" t="s">
        <v>2326</v>
      </c>
      <c r="K184" s="24" t="s">
        <v>2370</v>
      </c>
      <c r="L184" t="s">
        <v>1401</v>
      </c>
      <c r="M184" t="s">
        <v>2164</v>
      </c>
      <c r="N184" t="s">
        <v>1425</v>
      </c>
      <c r="O184" t="s">
        <v>1428</v>
      </c>
      <c r="P184" t="s">
        <v>2134</v>
      </c>
      <c r="Q184">
        <v>42</v>
      </c>
      <c r="R184" s="3">
        <v>8457780348495</v>
      </c>
      <c r="S184" s="3">
        <v>18457780348492</v>
      </c>
      <c r="T184" t="s">
        <v>2168</v>
      </c>
    </row>
    <row r="185" spans="1:21" x14ac:dyDescent="0.25">
      <c r="A185" t="s">
        <v>2133</v>
      </c>
      <c r="B185" t="s">
        <v>2228</v>
      </c>
      <c r="C185" t="s">
        <v>2121</v>
      </c>
      <c r="D185" t="s">
        <v>2122</v>
      </c>
      <c r="E185" t="str">
        <f>+CONCATENATE(D185,". FABRICADO EN ",M185,". PUNTERA DE ",N185,". PLANTILLA ",O185,". SUELA DE ",P185)</f>
        <v>BOTA SBPS E FO CI HI WPA WR HRO LG SC SR Negro/Rojo 43. FABRICADO EN POLIAMIDA + MICROFIBRA. PUNTERA DE Fibra de vidrio. PLANTILLA Antiperforación textil. SUELA DE PU/CAUCHO NITRILO</v>
      </c>
      <c r="F185" t="str">
        <f>PROPER(E185)</f>
        <v>Bota Sbps E Fo Ci Hi Wpa Wr Hro Lg Sc Sr Negro/Rojo 43. Fabricado En Poliamida + Microfibra. Puntera De Fibra De Vidrio. Plantilla Antiperforación Textil. Suela De Pu/Caucho Nitrilo</v>
      </c>
      <c r="G185" s="24">
        <f>VLOOKUP(B185,Tabla1[],2,0)</f>
        <v>39.9</v>
      </c>
      <c r="H185" s="24">
        <f>+G185/0.72</f>
        <v>55.416666666666664</v>
      </c>
      <c r="I185" s="24">
        <f>+H185*1.21</f>
        <v>67.05416666666666</v>
      </c>
      <c r="J185" s="24" t="s">
        <v>2326</v>
      </c>
      <c r="K185" s="24" t="s">
        <v>2370</v>
      </c>
      <c r="L185" t="s">
        <v>1401</v>
      </c>
      <c r="M185" t="s">
        <v>2164</v>
      </c>
      <c r="N185" t="s">
        <v>1425</v>
      </c>
      <c r="O185" t="s">
        <v>1428</v>
      </c>
      <c r="P185" t="s">
        <v>2134</v>
      </c>
      <c r="Q185">
        <v>43</v>
      </c>
      <c r="R185" s="3">
        <v>8457780348501</v>
      </c>
      <c r="S185" s="3">
        <v>18457780348508</v>
      </c>
      <c r="T185" t="s">
        <v>2168</v>
      </c>
    </row>
    <row r="186" spans="1:21" x14ac:dyDescent="0.25">
      <c r="A186" t="s">
        <v>2133</v>
      </c>
      <c r="B186" t="s">
        <v>2228</v>
      </c>
      <c r="C186" t="s">
        <v>2123</v>
      </c>
      <c r="D186" t="s">
        <v>2124</v>
      </c>
      <c r="E186" t="str">
        <f>+CONCATENATE(D186,". FABRICADO EN ",M186,". PUNTERA DE ",N186,". PLANTILLA ",O186,". SUELA DE ",P186)</f>
        <v>BOTA SBPS E FO CI HI WPA WR HRO LG SC SR Negro/Rojo 44. FABRICADO EN POLIAMIDA + MICROFIBRA. PUNTERA DE Fibra de vidrio. PLANTILLA Antiperforación textil. SUELA DE PU/CAUCHO NITRILO</v>
      </c>
      <c r="F186" t="str">
        <f>PROPER(E186)</f>
        <v>Bota Sbps E Fo Ci Hi Wpa Wr Hro Lg Sc Sr Negro/Rojo 44. Fabricado En Poliamida + Microfibra. Puntera De Fibra De Vidrio. Plantilla Antiperforación Textil. Suela De Pu/Caucho Nitrilo</v>
      </c>
      <c r="G186" s="24">
        <f>VLOOKUP(B186,Tabla1[],2,0)</f>
        <v>39.9</v>
      </c>
      <c r="H186" s="24">
        <f>+G186/0.72</f>
        <v>55.416666666666664</v>
      </c>
      <c r="I186" s="24">
        <f>+H186*1.21</f>
        <v>67.05416666666666</v>
      </c>
      <c r="J186" s="24" t="s">
        <v>2326</v>
      </c>
      <c r="K186" s="24" t="s">
        <v>2370</v>
      </c>
      <c r="L186" t="s">
        <v>1401</v>
      </c>
      <c r="M186" t="s">
        <v>2164</v>
      </c>
      <c r="N186" t="s">
        <v>1425</v>
      </c>
      <c r="O186" t="s">
        <v>1428</v>
      </c>
      <c r="P186" t="s">
        <v>2134</v>
      </c>
      <c r="Q186">
        <v>44</v>
      </c>
      <c r="R186" s="3">
        <v>8457780348518</v>
      </c>
      <c r="S186" s="3">
        <v>18457780348515</v>
      </c>
      <c r="T186" t="s">
        <v>2168</v>
      </c>
    </row>
    <row r="187" spans="1:21" x14ac:dyDescent="0.25">
      <c r="A187" t="s">
        <v>2133</v>
      </c>
      <c r="B187" t="s">
        <v>2228</v>
      </c>
      <c r="C187" t="s">
        <v>2125</v>
      </c>
      <c r="D187" t="s">
        <v>2126</v>
      </c>
      <c r="E187" t="str">
        <f>+CONCATENATE(D187,". FABRICADO EN ",M187,". PUNTERA DE ",N187,". PLANTILLA ",O187,". SUELA DE ",P187)</f>
        <v>BOTA SBPS E FO CI HI WPA WR HRO LG SC SR Negro/Rojo 45. FABRICADO EN POLIAMIDA + MICROFIBRA. PUNTERA DE Fibra de vidrio. PLANTILLA Antiperforación textil. SUELA DE PU/CAUCHO NITRILO</v>
      </c>
      <c r="F187" t="str">
        <f>PROPER(E187)</f>
        <v>Bota Sbps E Fo Ci Hi Wpa Wr Hro Lg Sc Sr Negro/Rojo 45. Fabricado En Poliamida + Microfibra. Puntera De Fibra De Vidrio. Plantilla Antiperforación Textil. Suela De Pu/Caucho Nitrilo</v>
      </c>
      <c r="G187" s="24">
        <f>VLOOKUP(B187,Tabla1[],2,0)</f>
        <v>39.9</v>
      </c>
      <c r="H187" s="24">
        <f>+G187/0.72</f>
        <v>55.416666666666664</v>
      </c>
      <c r="I187" s="24">
        <f>+H187*1.21</f>
        <v>67.05416666666666</v>
      </c>
      <c r="J187" s="24" t="s">
        <v>2326</v>
      </c>
      <c r="K187" s="24" t="s">
        <v>2370</v>
      </c>
      <c r="L187" t="s">
        <v>1401</v>
      </c>
      <c r="M187" t="s">
        <v>2164</v>
      </c>
      <c r="N187" t="s">
        <v>1425</v>
      </c>
      <c r="O187" t="s">
        <v>1428</v>
      </c>
      <c r="P187" t="s">
        <v>2134</v>
      </c>
      <c r="Q187">
        <v>45</v>
      </c>
      <c r="R187" s="3">
        <v>8457780348525</v>
      </c>
      <c r="S187" s="3">
        <v>18457780348522</v>
      </c>
      <c r="T187" t="s">
        <v>2168</v>
      </c>
    </row>
    <row r="188" spans="1:21" x14ac:dyDescent="0.25">
      <c r="A188" t="s">
        <v>2133</v>
      </c>
      <c r="B188" t="s">
        <v>2228</v>
      </c>
      <c r="C188" t="s">
        <v>2127</v>
      </c>
      <c r="D188" t="s">
        <v>2128</v>
      </c>
      <c r="E188" t="str">
        <f>+CONCATENATE(D188,". FABRICADO EN ",M188,". PUNTERA DE ",N188,". PLANTILLA ",O188,". SUELA DE ",P188)</f>
        <v>BOTA SBPS E FO CI HI WPA WR HRO LG SC SR Negro/Rojo 46. FABRICADO EN POLIAMIDA + MICROFIBRA. PUNTERA DE Fibra de vidrio. PLANTILLA Antiperforación textil. SUELA DE PU/CAUCHO NITRILO</v>
      </c>
      <c r="F188" t="str">
        <f>PROPER(E188)</f>
        <v>Bota Sbps E Fo Ci Hi Wpa Wr Hro Lg Sc Sr Negro/Rojo 46. Fabricado En Poliamida + Microfibra. Puntera De Fibra De Vidrio. Plantilla Antiperforación Textil. Suela De Pu/Caucho Nitrilo</v>
      </c>
      <c r="G188" s="24">
        <f>VLOOKUP(B188,Tabla1[],2,0)</f>
        <v>39.9</v>
      </c>
      <c r="H188" s="24">
        <f>+G188/0.72</f>
        <v>55.416666666666664</v>
      </c>
      <c r="I188" s="24">
        <f>+H188*1.21</f>
        <v>67.05416666666666</v>
      </c>
      <c r="J188" s="24" t="s">
        <v>2326</v>
      </c>
      <c r="K188" s="24" t="s">
        <v>2370</v>
      </c>
      <c r="L188" t="s">
        <v>1401</v>
      </c>
      <c r="M188" t="s">
        <v>2164</v>
      </c>
      <c r="N188" t="s">
        <v>1425</v>
      </c>
      <c r="O188" t="s">
        <v>1428</v>
      </c>
      <c r="P188" t="s">
        <v>2134</v>
      </c>
      <c r="Q188">
        <v>46</v>
      </c>
      <c r="R188" s="3">
        <v>8457780348532</v>
      </c>
      <c r="S188" s="3">
        <v>18457780348539</v>
      </c>
      <c r="T188" t="s">
        <v>2168</v>
      </c>
    </row>
    <row r="189" spans="1:21" x14ac:dyDescent="0.25">
      <c r="A189" t="s">
        <v>2133</v>
      </c>
      <c r="B189" t="s">
        <v>2228</v>
      </c>
      <c r="C189" t="s">
        <v>2129</v>
      </c>
      <c r="D189" t="s">
        <v>2130</v>
      </c>
      <c r="E189" t="str">
        <f>+CONCATENATE(D189,". FABRICADO EN ",M189,". PUNTERA DE ",N189,". PLANTILLA ",O189,". SUELA DE ",P189)</f>
        <v>BOTA SBPS E FO CI HI WPA WR HRO LG SC SR Negro/Rojo 47. FABRICADO EN POLIAMIDA + MICROFIBRA. PUNTERA DE Fibra de vidrio. PLANTILLA Antiperforación textil. SUELA DE PU/CAUCHO NITRILO</v>
      </c>
      <c r="F189" t="str">
        <f>PROPER(E189)</f>
        <v>Bota Sbps E Fo Ci Hi Wpa Wr Hro Lg Sc Sr Negro/Rojo 47. Fabricado En Poliamida + Microfibra. Puntera De Fibra De Vidrio. Plantilla Antiperforación Textil. Suela De Pu/Caucho Nitrilo</v>
      </c>
      <c r="G189" s="24">
        <f>VLOOKUP(B189,Tabla1[],2,0)</f>
        <v>39.9</v>
      </c>
      <c r="H189" s="24">
        <f>+G189/0.72</f>
        <v>55.416666666666664</v>
      </c>
      <c r="I189" s="24">
        <f>+H189*1.21</f>
        <v>67.05416666666666</v>
      </c>
      <c r="J189" s="24" t="s">
        <v>2326</v>
      </c>
      <c r="K189" s="24" t="s">
        <v>2370</v>
      </c>
      <c r="L189" t="s">
        <v>1401</v>
      </c>
      <c r="M189" t="s">
        <v>2164</v>
      </c>
      <c r="N189" t="s">
        <v>1425</v>
      </c>
      <c r="O189" t="s">
        <v>1428</v>
      </c>
      <c r="P189" t="s">
        <v>2134</v>
      </c>
      <c r="Q189">
        <v>47</v>
      </c>
      <c r="R189" s="3">
        <v>8457780348549</v>
      </c>
      <c r="S189" s="3">
        <v>18457780348546</v>
      </c>
      <c r="T189" t="s">
        <v>2168</v>
      </c>
    </row>
    <row r="190" spans="1:21" x14ac:dyDescent="0.25">
      <c r="A190" t="s">
        <v>2133</v>
      </c>
      <c r="B190" t="s">
        <v>2228</v>
      </c>
      <c r="C190" t="s">
        <v>2131</v>
      </c>
      <c r="D190" t="s">
        <v>2132</v>
      </c>
      <c r="E190" t="str">
        <f>+CONCATENATE(D190,". FABRICADO EN ",M190,". PUNTERA DE ",N190,". PLANTILLA ",O190,". SUELA DE ",P190)</f>
        <v>BOTA SBPS E FO CI HI WPA WR HRO LG SC SR Negro/Rojo 48. FABRICADO EN POLIAMIDA + MICROFIBRA. PUNTERA DE Fibra de vidrio. PLANTILLA Antiperforación textil. SUELA DE PU/CAUCHO NITRILO</v>
      </c>
      <c r="F190" t="str">
        <f>PROPER(E190)</f>
        <v>Bota Sbps E Fo Ci Hi Wpa Wr Hro Lg Sc Sr Negro/Rojo 48. Fabricado En Poliamida + Microfibra. Puntera De Fibra De Vidrio. Plantilla Antiperforación Textil. Suela De Pu/Caucho Nitrilo</v>
      </c>
      <c r="G190" s="24">
        <f>VLOOKUP(B190,Tabla1[],2,0)</f>
        <v>39.9</v>
      </c>
      <c r="H190" s="24">
        <f>+G190/0.72</f>
        <v>55.416666666666664</v>
      </c>
      <c r="I190" s="24">
        <f>+H190*1.21</f>
        <v>67.05416666666666</v>
      </c>
      <c r="J190" s="24" t="s">
        <v>2326</v>
      </c>
      <c r="K190" s="24" t="s">
        <v>2370</v>
      </c>
      <c r="L190" t="s">
        <v>1401</v>
      </c>
      <c r="M190" t="s">
        <v>2164</v>
      </c>
      <c r="N190" t="s">
        <v>1425</v>
      </c>
      <c r="O190" t="s">
        <v>1428</v>
      </c>
      <c r="P190" t="s">
        <v>2134</v>
      </c>
      <c r="Q190">
        <v>48</v>
      </c>
      <c r="R190" s="3">
        <v>8457780348556</v>
      </c>
      <c r="S190" s="3">
        <v>18457780348553</v>
      </c>
      <c r="T190" t="s">
        <v>2168</v>
      </c>
    </row>
    <row r="191" spans="1:21" x14ac:dyDescent="0.25">
      <c r="A191" t="s">
        <v>138</v>
      </c>
      <c r="B191" t="s">
        <v>2229</v>
      </c>
      <c r="C191" t="s">
        <v>139</v>
      </c>
      <c r="D191" t="s">
        <v>1557</v>
      </c>
      <c r="E191" t="str">
        <f>+CONCATENATE(D191,". FABRICADO EN ",M191,". PUNTERA DE ",N191,". PLANTILLA ",O191,". SUELA DE ",P191)</f>
        <v>BOTA PIEL S3+SRC METALICA Negro 35. FABRICADO EN PIEL GRABADA. PUNTERA DE Acero. PLANTILLA Acero. SUELA DE PU/PU DOBLE DENSIDAD</v>
      </c>
      <c r="F191" t="str">
        <f>PROPER(E191)</f>
        <v>Bota Piel S3+Src Metalica Negro 35. Fabricado En Piel Grabada. Puntera De Acero. Plantilla Acero. Suela De Pu/Pu Doble Densidad</v>
      </c>
      <c r="G191" s="24">
        <f>VLOOKUP(B191,Tabla1[],2,0)</f>
        <v>9.9</v>
      </c>
      <c r="H191" s="24">
        <f>+G191/0.7</f>
        <v>14.142857142857144</v>
      </c>
      <c r="I191" s="24">
        <f>+H191*1.21</f>
        <v>17.112857142857145</v>
      </c>
      <c r="J191" s="24" t="s">
        <v>2326</v>
      </c>
      <c r="K191" s="24" t="s">
        <v>2365</v>
      </c>
      <c r="L191" t="s">
        <v>1392</v>
      </c>
      <c r="M191" t="s">
        <v>1415</v>
      </c>
      <c r="N191" t="s">
        <v>1426</v>
      </c>
      <c r="O191" t="s">
        <v>1426</v>
      </c>
      <c r="P191" t="s">
        <v>1429</v>
      </c>
      <c r="Q191">
        <v>35</v>
      </c>
      <c r="R191" s="2">
        <v>8457780303920</v>
      </c>
      <c r="S191" s="3" t="s">
        <v>809</v>
      </c>
      <c r="T191" t="s">
        <v>1350</v>
      </c>
      <c r="U191" t="s">
        <v>1351</v>
      </c>
    </row>
    <row r="192" spans="1:21" x14ac:dyDescent="0.25">
      <c r="A192" t="s">
        <v>138</v>
      </c>
      <c r="B192" t="s">
        <v>2229</v>
      </c>
      <c r="C192" t="s">
        <v>140</v>
      </c>
      <c r="D192" t="s">
        <v>1558</v>
      </c>
      <c r="E192" t="str">
        <f>+CONCATENATE(D192,". FABRICADO EN ",M192,". PUNTERA DE ",N192,". PLANTILLA ",O192,". SUELA DE ",P192)</f>
        <v>BOTA PIEL S3+SRC METALICA Negro 36. FABRICADO EN PIEL GRABADA. PUNTERA DE Acero. PLANTILLA Acero. SUELA DE PU/PU DOBLE DENSIDAD</v>
      </c>
      <c r="F192" t="str">
        <f>PROPER(E192)</f>
        <v>Bota Piel S3+Src Metalica Negro 36. Fabricado En Piel Grabada. Puntera De Acero. Plantilla Acero. Suela De Pu/Pu Doble Densidad</v>
      </c>
      <c r="G192" s="24">
        <f>VLOOKUP(B192,Tabla1[],2,0)</f>
        <v>9.9</v>
      </c>
      <c r="H192" s="24">
        <f>+G192/0.7</f>
        <v>14.142857142857144</v>
      </c>
      <c r="I192" s="24">
        <f>+H192*1.21</f>
        <v>17.112857142857145</v>
      </c>
      <c r="J192" s="24" t="s">
        <v>2326</v>
      </c>
      <c r="K192" s="24" t="s">
        <v>2365</v>
      </c>
      <c r="L192" t="s">
        <v>1392</v>
      </c>
      <c r="M192" t="s">
        <v>1415</v>
      </c>
      <c r="N192" t="s">
        <v>1426</v>
      </c>
      <c r="O192" t="s">
        <v>1426</v>
      </c>
      <c r="P192" t="s">
        <v>1429</v>
      </c>
      <c r="Q192">
        <v>36</v>
      </c>
      <c r="R192" s="2">
        <v>8457780267888</v>
      </c>
      <c r="S192" s="3" t="s">
        <v>810</v>
      </c>
      <c r="T192" t="s">
        <v>1350</v>
      </c>
      <c r="U192" t="s">
        <v>1351</v>
      </c>
    </row>
    <row r="193" spans="1:21" x14ac:dyDescent="0.25">
      <c r="A193" t="s">
        <v>138</v>
      </c>
      <c r="B193" t="s">
        <v>2229</v>
      </c>
      <c r="C193" t="s">
        <v>141</v>
      </c>
      <c r="D193" t="s">
        <v>1559</v>
      </c>
      <c r="E193" t="str">
        <f>+CONCATENATE(D193,". FABRICADO EN ",M193,". PUNTERA DE ",N193,". PLANTILLA ",O193,". SUELA DE ",P193)</f>
        <v>BOTA PIEL S3+SRC METALICA Negro 37. FABRICADO EN PIEL GRABADA. PUNTERA DE Acero. PLANTILLA Acero. SUELA DE PU/PU DOBLE DENSIDAD</v>
      </c>
      <c r="F193" t="str">
        <f>PROPER(E193)</f>
        <v>Bota Piel S3+Src Metalica Negro 37. Fabricado En Piel Grabada. Puntera De Acero. Plantilla Acero. Suela De Pu/Pu Doble Densidad</v>
      </c>
      <c r="G193" s="24">
        <f>VLOOKUP(B193,Tabla1[],2,0)</f>
        <v>9.9</v>
      </c>
      <c r="H193" s="24">
        <f>+G193/0.7</f>
        <v>14.142857142857144</v>
      </c>
      <c r="I193" s="24">
        <f>+H193*1.21</f>
        <v>17.112857142857145</v>
      </c>
      <c r="J193" s="24" t="s">
        <v>2326</v>
      </c>
      <c r="K193" s="24" t="s">
        <v>2365</v>
      </c>
      <c r="L193" t="s">
        <v>1392</v>
      </c>
      <c r="M193" t="s">
        <v>1415</v>
      </c>
      <c r="N193" t="s">
        <v>1426</v>
      </c>
      <c r="O193" t="s">
        <v>1426</v>
      </c>
      <c r="P193" t="s">
        <v>1429</v>
      </c>
      <c r="Q193">
        <v>37</v>
      </c>
      <c r="R193" s="2">
        <v>8457780267895</v>
      </c>
      <c r="S193" s="3" t="s">
        <v>811</v>
      </c>
      <c r="T193" t="s">
        <v>1350</v>
      </c>
      <c r="U193" t="s">
        <v>1351</v>
      </c>
    </row>
    <row r="194" spans="1:21" x14ac:dyDescent="0.25">
      <c r="A194" t="s">
        <v>138</v>
      </c>
      <c r="B194" t="s">
        <v>2229</v>
      </c>
      <c r="C194" t="s">
        <v>142</v>
      </c>
      <c r="D194" t="s">
        <v>1560</v>
      </c>
      <c r="E194" t="str">
        <f>+CONCATENATE(D194,". FABRICADO EN ",M194,". PUNTERA DE ",N194,". PLANTILLA ",O194,". SUELA DE ",P194)</f>
        <v>BOTA PIEL S3+SRC METALICA Negro 38. FABRICADO EN PIEL GRABADA. PUNTERA DE Acero. PLANTILLA Acero. SUELA DE PU/PU DOBLE DENSIDAD</v>
      </c>
      <c r="F194" t="str">
        <f>PROPER(E194)</f>
        <v>Bota Piel S3+Src Metalica Negro 38. Fabricado En Piel Grabada. Puntera De Acero. Plantilla Acero. Suela De Pu/Pu Doble Densidad</v>
      </c>
      <c r="G194" s="24">
        <f>VLOOKUP(B194,Tabla1[],2,0)</f>
        <v>9.9</v>
      </c>
      <c r="H194" s="24">
        <f>+G194/0.7</f>
        <v>14.142857142857144</v>
      </c>
      <c r="I194" s="24">
        <f>+H194*1.21</f>
        <v>17.112857142857145</v>
      </c>
      <c r="J194" s="24" t="s">
        <v>2326</v>
      </c>
      <c r="K194" s="24" t="s">
        <v>2365</v>
      </c>
      <c r="L194" t="s">
        <v>1392</v>
      </c>
      <c r="M194" t="s">
        <v>1415</v>
      </c>
      <c r="N194" t="s">
        <v>1426</v>
      </c>
      <c r="O194" t="s">
        <v>1426</v>
      </c>
      <c r="P194" t="s">
        <v>1429</v>
      </c>
      <c r="Q194">
        <v>38</v>
      </c>
      <c r="R194" s="2">
        <v>8457780267901</v>
      </c>
      <c r="S194" s="3" t="s">
        <v>812</v>
      </c>
      <c r="T194" t="s">
        <v>1350</v>
      </c>
      <c r="U194" t="s">
        <v>1351</v>
      </c>
    </row>
    <row r="195" spans="1:21" x14ac:dyDescent="0.25">
      <c r="A195" t="s">
        <v>138</v>
      </c>
      <c r="B195" t="s">
        <v>2229</v>
      </c>
      <c r="C195" t="s">
        <v>143</v>
      </c>
      <c r="D195" t="s">
        <v>1561</v>
      </c>
      <c r="E195" t="str">
        <f>+CONCATENATE(D195,". FABRICADO EN ",M195,". PUNTERA DE ",N195,". PLANTILLA ",O195,". SUELA DE ",P195)</f>
        <v>BOTA PIEL S3+SRC METALICA Negro 39. FABRICADO EN PIEL GRABADA. PUNTERA DE Acero. PLANTILLA Acero. SUELA DE PU/PU DOBLE DENSIDAD</v>
      </c>
      <c r="F195" t="str">
        <f>PROPER(E195)</f>
        <v>Bota Piel S3+Src Metalica Negro 39. Fabricado En Piel Grabada. Puntera De Acero. Plantilla Acero. Suela De Pu/Pu Doble Densidad</v>
      </c>
      <c r="G195" s="24">
        <f>VLOOKUP(B195,Tabla1[],2,0)</f>
        <v>9.9</v>
      </c>
      <c r="H195" s="24">
        <f>+G195/0.7</f>
        <v>14.142857142857144</v>
      </c>
      <c r="I195" s="24">
        <f>+H195*1.21</f>
        <v>17.112857142857145</v>
      </c>
      <c r="J195" s="24" t="s">
        <v>2326</v>
      </c>
      <c r="K195" s="24" t="s">
        <v>2365</v>
      </c>
      <c r="L195" t="s">
        <v>1392</v>
      </c>
      <c r="M195" t="s">
        <v>1415</v>
      </c>
      <c r="N195" t="s">
        <v>1426</v>
      </c>
      <c r="O195" t="s">
        <v>1426</v>
      </c>
      <c r="P195" t="s">
        <v>1429</v>
      </c>
      <c r="Q195">
        <v>39</v>
      </c>
      <c r="R195" s="2">
        <v>8457780267918</v>
      </c>
      <c r="S195" s="3" t="s">
        <v>813</v>
      </c>
      <c r="T195" t="s">
        <v>1350</v>
      </c>
      <c r="U195" t="s">
        <v>1351</v>
      </c>
    </row>
    <row r="196" spans="1:21" x14ac:dyDescent="0.25">
      <c r="A196" t="s">
        <v>138</v>
      </c>
      <c r="B196" t="s">
        <v>2229</v>
      </c>
      <c r="C196" t="s">
        <v>144</v>
      </c>
      <c r="D196" t="s">
        <v>1562</v>
      </c>
      <c r="E196" t="str">
        <f>+CONCATENATE(D196,". FABRICADO EN ",M196,". PUNTERA DE ",N196,". PLANTILLA ",O196,". SUELA DE ",P196)</f>
        <v>BOTA PIEL S3+SRC METALICA Negro 40. FABRICADO EN PIEL GRABADA. PUNTERA DE Acero. PLANTILLA Acero. SUELA DE PU/PU DOBLE DENSIDAD</v>
      </c>
      <c r="F196" t="str">
        <f>PROPER(E196)</f>
        <v>Bota Piel S3+Src Metalica Negro 40. Fabricado En Piel Grabada. Puntera De Acero. Plantilla Acero. Suela De Pu/Pu Doble Densidad</v>
      </c>
      <c r="G196" s="24">
        <f>VLOOKUP(B196,Tabla1[],2,0)</f>
        <v>9.9</v>
      </c>
      <c r="H196" s="24">
        <f>+G196/0.7</f>
        <v>14.142857142857144</v>
      </c>
      <c r="I196" s="24">
        <f>+H196*1.21</f>
        <v>17.112857142857145</v>
      </c>
      <c r="J196" s="24" t="s">
        <v>2326</v>
      </c>
      <c r="K196" s="24" t="s">
        <v>2365</v>
      </c>
      <c r="L196" t="s">
        <v>1392</v>
      </c>
      <c r="M196" t="s">
        <v>1415</v>
      </c>
      <c r="N196" t="s">
        <v>1426</v>
      </c>
      <c r="O196" t="s">
        <v>1426</v>
      </c>
      <c r="P196" t="s">
        <v>1429</v>
      </c>
      <c r="Q196">
        <v>40</v>
      </c>
      <c r="R196" s="2">
        <v>8457780267925</v>
      </c>
      <c r="S196" s="3" t="s">
        <v>814</v>
      </c>
      <c r="T196" t="s">
        <v>1350</v>
      </c>
      <c r="U196" t="s">
        <v>1351</v>
      </c>
    </row>
    <row r="197" spans="1:21" x14ac:dyDescent="0.25">
      <c r="A197" t="s">
        <v>138</v>
      </c>
      <c r="B197" t="s">
        <v>2229</v>
      </c>
      <c r="C197" t="s">
        <v>145</v>
      </c>
      <c r="D197" t="s">
        <v>1563</v>
      </c>
      <c r="E197" t="str">
        <f>+CONCATENATE(D197,". FABRICADO EN ",M197,". PUNTERA DE ",N197,". PLANTILLA ",O197,". SUELA DE ",P197)</f>
        <v>BOTA PIEL S3+SRC METALICA Negro 41. FABRICADO EN PIEL GRABADA. PUNTERA DE Acero. PLANTILLA Acero. SUELA DE PU/PU DOBLE DENSIDAD</v>
      </c>
      <c r="F197" t="str">
        <f>PROPER(E197)</f>
        <v>Bota Piel S3+Src Metalica Negro 41. Fabricado En Piel Grabada. Puntera De Acero. Plantilla Acero. Suela De Pu/Pu Doble Densidad</v>
      </c>
      <c r="G197" s="24">
        <f>VLOOKUP(B197,Tabla1[],2,0)</f>
        <v>9.9</v>
      </c>
      <c r="H197" s="24">
        <f>+G197/0.7</f>
        <v>14.142857142857144</v>
      </c>
      <c r="I197" s="24">
        <f>+H197*1.21</f>
        <v>17.112857142857145</v>
      </c>
      <c r="J197" s="24" t="s">
        <v>2326</v>
      </c>
      <c r="K197" s="24" t="s">
        <v>2365</v>
      </c>
      <c r="L197" t="s">
        <v>1392</v>
      </c>
      <c r="M197" t="s">
        <v>1415</v>
      </c>
      <c r="N197" t="s">
        <v>1426</v>
      </c>
      <c r="O197" t="s">
        <v>1426</v>
      </c>
      <c r="P197" t="s">
        <v>1429</v>
      </c>
      <c r="Q197">
        <v>41</v>
      </c>
      <c r="R197" s="2">
        <v>8457780267932</v>
      </c>
      <c r="S197" s="3" t="s">
        <v>815</v>
      </c>
      <c r="T197" t="s">
        <v>1350</v>
      </c>
      <c r="U197" t="s">
        <v>1351</v>
      </c>
    </row>
    <row r="198" spans="1:21" x14ac:dyDescent="0.25">
      <c r="A198" t="s">
        <v>138</v>
      </c>
      <c r="B198" t="s">
        <v>2229</v>
      </c>
      <c r="C198" t="s">
        <v>146</v>
      </c>
      <c r="D198" t="s">
        <v>1564</v>
      </c>
      <c r="E198" t="str">
        <f>+CONCATENATE(D198,". FABRICADO EN ",M198,". PUNTERA DE ",N198,". PLANTILLA ",O198,". SUELA DE ",P198)</f>
        <v>BOTA PIEL S3+SRC METALICA Negro 42. FABRICADO EN PIEL GRABADA. PUNTERA DE Acero. PLANTILLA Acero. SUELA DE PU/PU DOBLE DENSIDAD</v>
      </c>
      <c r="F198" t="str">
        <f>PROPER(E198)</f>
        <v>Bota Piel S3+Src Metalica Negro 42. Fabricado En Piel Grabada. Puntera De Acero. Plantilla Acero. Suela De Pu/Pu Doble Densidad</v>
      </c>
      <c r="G198" s="24">
        <f>VLOOKUP(B198,Tabla1[],2,0)</f>
        <v>9.9</v>
      </c>
      <c r="H198" s="24">
        <f>+G198/0.7</f>
        <v>14.142857142857144</v>
      </c>
      <c r="I198" s="24">
        <f>+H198*1.21</f>
        <v>17.112857142857145</v>
      </c>
      <c r="J198" s="24" t="s">
        <v>2326</v>
      </c>
      <c r="K198" s="24" t="s">
        <v>2365</v>
      </c>
      <c r="L198" t="s">
        <v>1392</v>
      </c>
      <c r="M198" t="s">
        <v>1415</v>
      </c>
      <c r="N198" t="s">
        <v>1426</v>
      </c>
      <c r="O198" t="s">
        <v>1426</v>
      </c>
      <c r="P198" t="s">
        <v>1429</v>
      </c>
      <c r="Q198">
        <v>42</v>
      </c>
      <c r="R198" s="2">
        <v>8457780267949</v>
      </c>
      <c r="S198" s="3" t="s">
        <v>816</v>
      </c>
      <c r="T198" t="s">
        <v>1350</v>
      </c>
      <c r="U198" t="s">
        <v>1351</v>
      </c>
    </row>
    <row r="199" spans="1:21" x14ac:dyDescent="0.25">
      <c r="A199" t="s">
        <v>138</v>
      </c>
      <c r="B199" t="s">
        <v>2229</v>
      </c>
      <c r="C199" t="s">
        <v>147</v>
      </c>
      <c r="D199" t="s">
        <v>1565</v>
      </c>
      <c r="E199" t="str">
        <f>+CONCATENATE(D199,". FABRICADO EN ",M199,". PUNTERA DE ",N199,". PLANTILLA ",O199,". SUELA DE ",P199)</f>
        <v>BOTA PIEL S3+SRC METALICA Negro 43. FABRICADO EN PIEL GRABADA. PUNTERA DE Acero. PLANTILLA Acero. SUELA DE PU/PU DOBLE DENSIDAD</v>
      </c>
      <c r="F199" t="str">
        <f>PROPER(E199)</f>
        <v>Bota Piel S3+Src Metalica Negro 43. Fabricado En Piel Grabada. Puntera De Acero. Plantilla Acero. Suela De Pu/Pu Doble Densidad</v>
      </c>
      <c r="G199" s="24">
        <f>VLOOKUP(B199,Tabla1[],2,0)</f>
        <v>9.9</v>
      </c>
      <c r="H199" s="24">
        <f>+G199/0.7</f>
        <v>14.142857142857144</v>
      </c>
      <c r="I199" s="24">
        <f>+H199*1.21</f>
        <v>17.112857142857145</v>
      </c>
      <c r="J199" s="24" t="s">
        <v>2326</v>
      </c>
      <c r="K199" s="24" t="s">
        <v>2365</v>
      </c>
      <c r="L199" t="s">
        <v>1392</v>
      </c>
      <c r="M199" t="s">
        <v>1415</v>
      </c>
      <c r="N199" t="s">
        <v>1426</v>
      </c>
      <c r="O199" t="s">
        <v>1426</v>
      </c>
      <c r="P199" t="s">
        <v>1429</v>
      </c>
      <c r="Q199">
        <v>43</v>
      </c>
      <c r="R199" s="2">
        <v>8457780267956</v>
      </c>
      <c r="S199" s="3" t="s">
        <v>817</v>
      </c>
      <c r="T199" t="s">
        <v>1350</v>
      </c>
      <c r="U199" t="s">
        <v>1351</v>
      </c>
    </row>
    <row r="200" spans="1:21" x14ac:dyDescent="0.25">
      <c r="A200" t="s">
        <v>138</v>
      </c>
      <c r="B200" t="s">
        <v>2229</v>
      </c>
      <c r="C200" t="s">
        <v>148</v>
      </c>
      <c r="D200" t="s">
        <v>1566</v>
      </c>
      <c r="E200" t="str">
        <f>+CONCATENATE(D200,". FABRICADO EN ",M200,". PUNTERA DE ",N200,". PLANTILLA ",O200,". SUELA DE ",P200)</f>
        <v>BOTA PIEL S3+SRC METALICA Negro 44. FABRICADO EN PIEL GRABADA. PUNTERA DE Acero. PLANTILLA Acero. SUELA DE PU/PU DOBLE DENSIDAD</v>
      </c>
      <c r="F200" t="str">
        <f>PROPER(E200)</f>
        <v>Bota Piel S3+Src Metalica Negro 44. Fabricado En Piel Grabada. Puntera De Acero. Plantilla Acero. Suela De Pu/Pu Doble Densidad</v>
      </c>
      <c r="G200" s="24">
        <f>VLOOKUP(B200,Tabla1[],2,0)</f>
        <v>9.9</v>
      </c>
      <c r="H200" s="24">
        <f>+G200/0.7</f>
        <v>14.142857142857144</v>
      </c>
      <c r="I200" s="24">
        <f>+H200*1.21</f>
        <v>17.112857142857145</v>
      </c>
      <c r="J200" s="24" t="s">
        <v>2326</v>
      </c>
      <c r="K200" s="24" t="s">
        <v>2365</v>
      </c>
      <c r="L200" t="s">
        <v>1392</v>
      </c>
      <c r="M200" t="s">
        <v>1415</v>
      </c>
      <c r="N200" t="s">
        <v>1426</v>
      </c>
      <c r="O200" t="s">
        <v>1426</v>
      </c>
      <c r="P200" t="s">
        <v>1429</v>
      </c>
      <c r="Q200">
        <v>44</v>
      </c>
      <c r="R200" s="2">
        <v>8457780267963</v>
      </c>
      <c r="S200" s="3" t="s">
        <v>818</v>
      </c>
      <c r="T200" t="s">
        <v>1350</v>
      </c>
      <c r="U200" t="s">
        <v>1351</v>
      </c>
    </row>
    <row r="201" spans="1:21" x14ac:dyDescent="0.25">
      <c r="A201" t="s">
        <v>138</v>
      </c>
      <c r="B201" t="s">
        <v>2229</v>
      </c>
      <c r="C201" t="s">
        <v>149</v>
      </c>
      <c r="D201" t="s">
        <v>1567</v>
      </c>
      <c r="E201" t="str">
        <f>+CONCATENATE(D201,". FABRICADO EN ",M201,". PUNTERA DE ",N201,". PLANTILLA ",O201,". SUELA DE ",P201)</f>
        <v>BOTA PIEL S3+SRC METALICA Negro 45. FABRICADO EN PIEL GRABADA. PUNTERA DE Acero. PLANTILLA Acero. SUELA DE PU/PU DOBLE DENSIDAD</v>
      </c>
      <c r="F201" t="str">
        <f>PROPER(E201)</f>
        <v>Bota Piel S3+Src Metalica Negro 45. Fabricado En Piel Grabada. Puntera De Acero. Plantilla Acero. Suela De Pu/Pu Doble Densidad</v>
      </c>
      <c r="G201" s="24">
        <f>VLOOKUP(B201,Tabla1[],2,0)</f>
        <v>9.9</v>
      </c>
      <c r="H201" s="24">
        <f>+G201/0.7</f>
        <v>14.142857142857144</v>
      </c>
      <c r="I201" s="24">
        <f>+H201*1.21</f>
        <v>17.112857142857145</v>
      </c>
      <c r="J201" s="24" t="s">
        <v>2326</v>
      </c>
      <c r="K201" s="24" t="s">
        <v>2365</v>
      </c>
      <c r="L201" t="s">
        <v>1392</v>
      </c>
      <c r="M201" t="s">
        <v>1415</v>
      </c>
      <c r="N201" t="s">
        <v>1426</v>
      </c>
      <c r="O201" t="s">
        <v>1426</v>
      </c>
      <c r="P201" t="s">
        <v>1429</v>
      </c>
      <c r="Q201">
        <v>45</v>
      </c>
      <c r="R201" s="2">
        <v>8457780267970</v>
      </c>
      <c r="S201" s="3" t="s">
        <v>819</v>
      </c>
      <c r="T201" t="s">
        <v>1350</v>
      </c>
      <c r="U201" t="s">
        <v>1351</v>
      </c>
    </row>
    <row r="202" spans="1:21" x14ac:dyDescent="0.25">
      <c r="A202" t="s">
        <v>138</v>
      </c>
      <c r="B202" t="s">
        <v>2229</v>
      </c>
      <c r="C202" t="s">
        <v>150</v>
      </c>
      <c r="D202" t="s">
        <v>1568</v>
      </c>
      <c r="E202" t="str">
        <f>+CONCATENATE(D202,". FABRICADO EN ",M202,". PUNTERA DE ",N202,". PLANTILLA ",O202,". SUELA DE ",P202)</f>
        <v>BOTA PIEL S3+SRC METALICA Negro 46. FABRICADO EN PIEL GRABADA. PUNTERA DE Acero. PLANTILLA Acero. SUELA DE PU/PU DOBLE DENSIDAD</v>
      </c>
      <c r="F202" t="str">
        <f>PROPER(E202)</f>
        <v>Bota Piel S3+Src Metalica Negro 46. Fabricado En Piel Grabada. Puntera De Acero. Plantilla Acero. Suela De Pu/Pu Doble Densidad</v>
      </c>
      <c r="G202" s="24">
        <f>VLOOKUP(B202,Tabla1[],2,0)</f>
        <v>9.9</v>
      </c>
      <c r="H202" s="24">
        <f>+G202/0.7</f>
        <v>14.142857142857144</v>
      </c>
      <c r="I202" s="24">
        <f>+H202*1.21</f>
        <v>17.112857142857145</v>
      </c>
      <c r="J202" s="24" t="s">
        <v>2326</v>
      </c>
      <c r="K202" s="24" t="s">
        <v>2365</v>
      </c>
      <c r="L202" t="s">
        <v>1392</v>
      </c>
      <c r="M202" t="s">
        <v>1415</v>
      </c>
      <c r="N202" t="s">
        <v>1426</v>
      </c>
      <c r="O202" t="s">
        <v>1426</v>
      </c>
      <c r="P202" t="s">
        <v>1429</v>
      </c>
      <c r="Q202">
        <v>46</v>
      </c>
      <c r="R202" s="2">
        <v>8457780267987</v>
      </c>
      <c r="S202" s="3" t="s">
        <v>820</v>
      </c>
      <c r="T202" t="s">
        <v>1350</v>
      </c>
      <c r="U202" t="s">
        <v>1351</v>
      </c>
    </row>
    <row r="203" spans="1:21" x14ac:dyDescent="0.25">
      <c r="A203" t="s">
        <v>138</v>
      </c>
      <c r="B203" t="s">
        <v>2229</v>
      </c>
      <c r="C203" t="s">
        <v>151</v>
      </c>
      <c r="D203" t="s">
        <v>1569</v>
      </c>
      <c r="E203" t="str">
        <f>+CONCATENATE(D203,". FABRICADO EN ",M203,". PUNTERA DE ",N203,". PLANTILLA ",O203,". SUELA DE ",P203)</f>
        <v>BOTA PIEL S3+SRC METALICA Negro 47. FABRICADO EN PIEL GRABADA. PUNTERA DE Acero. PLANTILLA Acero. SUELA DE PU/PU DOBLE DENSIDAD</v>
      </c>
      <c r="F203" t="str">
        <f>PROPER(E203)</f>
        <v>Bota Piel S3+Src Metalica Negro 47. Fabricado En Piel Grabada. Puntera De Acero. Plantilla Acero. Suela De Pu/Pu Doble Densidad</v>
      </c>
      <c r="G203" s="24">
        <f>VLOOKUP(B203,Tabla1[],2,0)</f>
        <v>9.9</v>
      </c>
      <c r="H203" s="24">
        <f>+G203/0.7</f>
        <v>14.142857142857144</v>
      </c>
      <c r="I203" s="24">
        <f>+H203*1.21</f>
        <v>17.112857142857145</v>
      </c>
      <c r="J203" s="24" t="s">
        <v>2326</v>
      </c>
      <c r="K203" s="24" t="s">
        <v>2365</v>
      </c>
      <c r="L203" t="s">
        <v>1392</v>
      </c>
      <c r="M203" t="s">
        <v>1415</v>
      </c>
      <c r="N203" t="s">
        <v>1426</v>
      </c>
      <c r="O203" t="s">
        <v>1426</v>
      </c>
      <c r="P203" t="s">
        <v>1429</v>
      </c>
      <c r="Q203">
        <v>47</v>
      </c>
      <c r="R203" s="2">
        <v>8457780267994</v>
      </c>
      <c r="S203" s="3" t="s">
        <v>821</v>
      </c>
      <c r="T203" t="s">
        <v>1350</v>
      </c>
      <c r="U203" t="s">
        <v>1351</v>
      </c>
    </row>
    <row r="204" spans="1:21" x14ac:dyDescent="0.25">
      <c r="A204" t="s">
        <v>138</v>
      </c>
      <c r="B204" t="s">
        <v>2229</v>
      </c>
      <c r="C204" t="s">
        <v>152</v>
      </c>
      <c r="D204" t="s">
        <v>1570</v>
      </c>
      <c r="E204" t="str">
        <f>+CONCATENATE(D204,". FABRICADO EN ",M204,". PUNTERA DE ",N204,". PLANTILLA ",O204,". SUELA DE ",P204)</f>
        <v>BOTA PIEL S3+SRC METALICA Negro 48. FABRICADO EN PIEL GRABADA. PUNTERA DE Acero. PLANTILLA Acero. SUELA DE PU/PU DOBLE DENSIDAD</v>
      </c>
      <c r="F204" t="str">
        <f>PROPER(E204)</f>
        <v>Bota Piel S3+Src Metalica Negro 48. Fabricado En Piel Grabada. Puntera De Acero. Plantilla Acero. Suela De Pu/Pu Doble Densidad</v>
      </c>
      <c r="G204" s="24">
        <f>VLOOKUP(B204,Tabla1[],2,0)</f>
        <v>9.9</v>
      </c>
      <c r="H204" s="24">
        <f>+G204/0.7</f>
        <v>14.142857142857144</v>
      </c>
      <c r="I204" s="24">
        <f>+H204*1.21</f>
        <v>17.112857142857145</v>
      </c>
      <c r="J204" s="24" t="s">
        <v>2326</v>
      </c>
      <c r="K204" s="24" t="s">
        <v>2365</v>
      </c>
      <c r="L204" t="s">
        <v>1392</v>
      </c>
      <c r="M204" t="s">
        <v>1415</v>
      </c>
      <c r="N204" t="s">
        <v>1426</v>
      </c>
      <c r="O204" t="s">
        <v>1426</v>
      </c>
      <c r="P204" t="s">
        <v>1429</v>
      </c>
      <c r="Q204">
        <v>48</v>
      </c>
      <c r="R204" s="2">
        <v>8457780303937</v>
      </c>
      <c r="S204" s="3" t="s">
        <v>822</v>
      </c>
      <c r="T204" t="s">
        <v>1350</v>
      </c>
      <c r="U204" t="s">
        <v>1351</v>
      </c>
    </row>
    <row r="205" spans="1:21" x14ac:dyDescent="0.25">
      <c r="A205" t="s">
        <v>153</v>
      </c>
      <c r="B205" t="s">
        <v>2230</v>
      </c>
      <c r="C205" t="s">
        <v>154</v>
      </c>
      <c r="D205" t="s">
        <v>1571</v>
      </c>
      <c r="E205" t="str">
        <f>+CONCATENATE(D205,". FABRICADO EN ",M205,". PUNTERA DE ",N205,". PLANTILLA ",O205,". SUELA DE ",P205)</f>
        <v>BOTA PU S5+CI+SRC Verde Oscuro 36. FABRICADO EN PU. PUNTERA DE Acero. PLANTILLA Acero. SUELA DE PU/PU DOBLE DENSIDAD</v>
      </c>
      <c r="F205" t="str">
        <f>PROPER(E205)</f>
        <v>Bota Pu S5+Ci+Src Verde Oscuro 36. Fabricado En Pu. Puntera De Acero. Plantilla Acero. Suela De Pu/Pu Doble Densidad</v>
      </c>
      <c r="G205" s="24">
        <f>VLOOKUP(B205,Tabla1[],2,0)</f>
        <v>26.6</v>
      </c>
      <c r="H205" s="24">
        <f>+G205/0.72</f>
        <v>36.94444444444445</v>
      </c>
      <c r="I205" s="24">
        <f>+H205*1.21</f>
        <v>44.702777777777783</v>
      </c>
      <c r="J205" s="24" t="s">
        <v>2326</v>
      </c>
      <c r="K205" s="24" t="s">
        <v>2369</v>
      </c>
      <c r="L205" t="s">
        <v>1404</v>
      </c>
      <c r="M205" t="s">
        <v>1391</v>
      </c>
      <c r="N205" t="s">
        <v>1426</v>
      </c>
      <c r="O205" t="s">
        <v>1426</v>
      </c>
      <c r="P205" t="s">
        <v>1429</v>
      </c>
      <c r="Q205">
        <v>36</v>
      </c>
      <c r="R205" s="2">
        <v>8457780322020</v>
      </c>
      <c r="S205" s="3" t="s">
        <v>823</v>
      </c>
      <c r="T205" s="1" t="s">
        <v>1389</v>
      </c>
    </row>
    <row r="206" spans="1:21" x14ac:dyDescent="0.25">
      <c r="A206" t="s">
        <v>153</v>
      </c>
      <c r="B206" t="s">
        <v>2230</v>
      </c>
      <c r="C206" t="s">
        <v>155</v>
      </c>
      <c r="D206" t="s">
        <v>1572</v>
      </c>
      <c r="E206" t="str">
        <f>+CONCATENATE(D206,". FABRICADO EN ",M206,". PUNTERA DE ",N206,". PLANTILLA ",O206,". SUELA DE ",P206)</f>
        <v>BOTA PU S5+CI+SRC Verde Oscuro 37. FABRICADO EN PU. PUNTERA DE Acero. PLANTILLA Acero. SUELA DE PU/PU DOBLE DENSIDAD</v>
      </c>
      <c r="F206" t="str">
        <f>PROPER(E206)</f>
        <v>Bota Pu S5+Ci+Src Verde Oscuro 37. Fabricado En Pu. Puntera De Acero. Plantilla Acero. Suela De Pu/Pu Doble Densidad</v>
      </c>
      <c r="G206" s="24">
        <f>VLOOKUP(B206,Tabla1[],2,0)</f>
        <v>26.6</v>
      </c>
      <c r="H206" s="24">
        <f>+G206/0.72</f>
        <v>36.94444444444445</v>
      </c>
      <c r="I206" s="24">
        <f>+H206*1.21</f>
        <v>44.702777777777783</v>
      </c>
      <c r="J206" s="24" t="s">
        <v>2326</v>
      </c>
      <c r="K206" s="24" t="s">
        <v>2369</v>
      </c>
      <c r="L206" t="s">
        <v>1404</v>
      </c>
      <c r="M206" t="s">
        <v>1391</v>
      </c>
      <c r="N206" t="s">
        <v>1426</v>
      </c>
      <c r="O206" t="s">
        <v>1426</v>
      </c>
      <c r="P206" t="s">
        <v>1429</v>
      </c>
      <c r="Q206">
        <v>37</v>
      </c>
      <c r="R206" s="2">
        <v>8457780322037</v>
      </c>
      <c r="S206" s="3" t="s">
        <v>824</v>
      </c>
      <c r="T206" s="1" t="s">
        <v>1389</v>
      </c>
    </row>
    <row r="207" spans="1:21" x14ac:dyDescent="0.25">
      <c r="A207" t="s">
        <v>153</v>
      </c>
      <c r="B207" t="s">
        <v>2230</v>
      </c>
      <c r="C207" t="s">
        <v>156</v>
      </c>
      <c r="D207" t="s">
        <v>1573</v>
      </c>
      <c r="E207" t="str">
        <f>+CONCATENATE(D207,". FABRICADO EN ",M207,". PUNTERA DE ",N207,". PLANTILLA ",O207,". SUELA DE ",P207)</f>
        <v>BOTA PU S5+CI+SRC Verde Oscuro 38. FABRICADO EN PU. PUNTERA DE Acero. PLANTILLA Acero. SUELA DE PU/PU DOBLE DENSIDAD</v>
      </c>
      <c r="F207" t="str">
        <f>PROPER(E207)</f>
        <v>Bota Pu S5+Ci+Src Verde Oscuro 38. Fabricado En Pu. Puntera De Acero. Plantilla Acero. Suela De Pu/Pu Doble Densidad</v>
      </c>
      <c r="G207" s="24">
        <f>VLOOKUP(B207,Tabla1[],2,0)</f>
        <v>26.6</v>
      </c>
      <c r="H207" s="24">
        <f>+G207/0.72</f>
        <v>36.94444444444445</v>
      </c>
      <c r="I207" s="24">
        <f>+H207*1.21</f>
        <v>44.702777777777783</v>
      </c>
      <c r="J207" s="24" t="s">
        <v>2326</v>
      </c>
      <c r="K207" s="24" t="s">
        <v>2369</v>
      </c>
      <c r="L207" t="s">
        <v>1404</v>
      </c>
      <c r="M207" t="s">
        <v>1391</v>
      </c>
      <c r="N207" t="s">
        <v>1426</v>
      </c>
      <c r="O207" t="s">
        <v>1426</v>
      </c>
      <c r="P207" t="s">
        <v>1429</v>
      </c>
      <c r="Q207">
        <v>38</v>
      </c>
      <c r="R207" s="2">
        <v>8457780322044</v>
      </c>
      <c r="S207" s="3" t="s">
        <v>825</v>
      </c>
      <c r="T207" s="1" t="s">
        <v>1389</v>
      </c>
    </row>
    <row r="208" spans="1:21" x14ac:dyDescent="0.25">
      <c r="A208" t="s">
        <v>153</v>
      </c>
      <c r="B208" t="s">
        <v>2230</v>
      </c>
      <c r="C208" t="s">
        <v>157</v>
      </c>
      <c r="D208" t="s">
        <v>1574</v>
      </c>
      <c r="E208" t="str">
        <f>+CONCATENATE(D208,". FABRICADO EN ",M208,". PUNTERA DE ",N208,". PLANTILLA ",O208,". SUELA DE ",P208)</f>
        <v>BOTA PU S5+CI+SRC Verde Oscuro 39. FABRICADO EN PU. PUNTERA DE Acero. PLANTILLA Acero. SUELA DE PU/PU DOBLE DENSIDAD</v>
      </c>
      <c r="F208" t="str">
        <f>PROPER(E208)</f>
        <v>Bota Pu S5+Ci+Src Verde Oscuro 39. Fabricado En Pu. Puntera De Acero. Plantilla Acero. Suela De Pu/Pu Doble Densidad</v>
      </c>
      <c r="G208" s="24">
        <f>VLOOKUP(B208,Tabla1[],2,0)</f>
        <v>26.6</v>
      </c>
      <c r="H208" s="24">
        <f>+G208/0.72</f>
        <v>36.94444444444445</v>
      </c>
      <c r="I208" s="24">
        <f>+H208*1.21</f>
        <v>44.702777777777783</v>
      </c>
      <c r="J208" s="24" t="s">
        <v>2326</v>
      </c>
      <c r="K208" s="24" t="s">
        <v>2369</v>
      </c>
      <c r="L208" t="s">
        <v>1404</v>
      </c>
      <c r="M208" t="s">
        <v>1391</v>
      </c>
      <c r="N208" t="s">
        <v>1426</v>
      </c>
      <c r="O208" t="s">
        <v>1426</v>
      </c>
      <c r="P208" t="s">
        <v>1429</v>
      </c>
      <c r="Q208">
        <v>39</v>
      </c>
      <c r="R208" s="2">
        <v>8457780322051</v>
      </c>
      <c r="S208" s="3" t="s">
        <v>826</v>
      </c>
      <c r="T208" s="1" t="s">
        <v>1389</v>
      </c>
    </row>
    <row r="209" spans="1:21" x14ac:dyDescent="0.25">
      <c r="A209" t="s">
        <v>153</v>
      </c>
      <c r="B209" t="s">
        <v>2230</v>
      </c>
      <c r="C209" t="s">
        <v>158</v>
      </c>
      <c r="D209" t="s">
        <v>1575</v>
      </c>
      <c r="E209" t="str">
        <f>+CONCATENATE(D209,". FABRICADO EN ",M209,". PUNTERA DE ",N209,". PLANTILLA ",O209,". SUELA DE ",P209)</f>
        <v>BOTA PU S5+CI+SRC Verde Oscuro 40. FABRICADO EN PU. PUNTERA DE Acero. PLANTILLA Acero. SUELA DE PU/PU DOBLE DENSIDAD</v>
      </c>
      <c r="F209" t="str">
        <f>PROPER(E209)</f>
        <v>Bota Pu S5+Ci+Src Verde Oscuro 40. Fabricado En Pu. Puntera De Acero. Plantilla Acero. Suela De Pu/Pu Doble Densidad</v>
      </c>
      <c r="G209" s="24">
        <f>VLOOKUP(B209,Tabla1[],2,0)</f>
        <v>26.6</v>
      </c>
      <c r="H209" s="24">
        <f>+G209/0.72</f>
        <v>36.94444444444445</v>
      </c>
      <c r="I209" s="24">
        <f>+H209*1.21</f>
        <v>44.702777777777783</v>
      </c>
      <c r="J209" s="24" t="s">
        <v>2326</v>
      </c>
      <c r="K209" s="24" t="s">
        <v>2369</v>
      </c>
      <c r="L209" t="s">
        <v>1404</v>
      </c>
      <c r="M209" t="s">
        <v>1391</v>
      </c>
      <c r="N209" t="s">
        <v>1426</v>
      </c>
      <c r="O209" t="s">
        <v>1426</v>
      </c>
      <c r="P209" t="s">
        <v>1429</v>
      </c>
      <c r="Q209">
        <v>40</v>
      </c>
      <c r="R209" s="2">
        <v>8457780322068</v>
      </c>
      <c r="S209" s="3" t="s">
        <v>827</v>
      </c>
      <c r="T209" s="1" t="s">
        <v>1389</v>
      </c>
    </row>
    <row r="210" spans="1:21" x14ac:dyDescent="0.25">
      <c r="A210" t="s">
        <v>153</v>
      </c>
      <c r="B210" t="s">
        <v>2230</v>
      </c>
      <c r="C210" t="s">
        <v>159</v>
      </c>
      <c r="D210" t="s">
        <v>1576</v>
      </c>
      <c r="E210" t="str">
        <f>+CONCATENATE(D210,". FABRICADO EN ",M210,". PUNTERA DE ",N210,". PLANTILLA ",O210,". SUELA DE ",P210)</f>
        <v>BOTA PU S5+CI+SRC Verde Oscuro 41. FABRICADO EN PU. PUNTERA DE Acero. PLANTILLA Acero. SUELA DE PU/PU DOBLE DENSIDAD</v>
      </c>
      <c r="F210" t="str">
        <f>PROPER(E210)</f>
        <v>Bota Pu S5+Ci+Src Verde Oscuro 41. Fabricado En Pu. Puntera De Acero. Plantilla Acero. Suela De Pu/Pu Doble Densidad</v>
      </c>
      <c r="G210" s="24">
        <f>VLOOKUP(B210,Tabla1[],2,0)</f>
        <v>26.6</v>
      </c>
      <c r="H210" s="24">
        <f>+G210/0.72</f>
        <v>36.94444444444445</v>
      </c>
      <c r="I210" s="24">
        <f>+H210*1.21</f>
        <v>44.702777777777783</v>
      </c>
      <c r="J210" s="24" t="s">
        <v>2326</v>
      </c>
      <c r="K210" s="24" t="s">
        <v>2369</v>
      </c>
      <c r="L210" t="s">
        <v>1404</v>
      </c>
      <c r="M210" t="s">
        <v>1391</v>
      </c>
      <c r="N210" t="s">
        <v>1426</v>
      </c>
      <c r="O210" t="s">
        <v>1426</v>
      </c>
      <c r="P210" t="s">
        <v>1429</v>
      </c>
      <c r="Q210">
        <v>41</v>
      </c>
      <c r="R210" s="2">
        <v>8457780322075</v>
      </c>
      <c r="S210" s="3" t="s">
        <v>828</v>
      </c>
      <c r="T210" s="1" t="s">
        <v>1389</v>
      </c>
    </row>
    <row r="211" spans="1:21" x14ac:dyDescent="0.25">
      <c r="A211" t="s">
        <v>153</v>
      </c>
      <c r="B211" t="s">
        <v>2230</v>
      </c>
      <c r="C211" t="s">
        <v>160</v>
      </c>
      <c r="D211" t="s">
        <v>1577</v>
      </c>
      <c r="E211" t="str">
        <f>+CONCATENATE(D211,". FABRICADO EN ",M211,". PUNTERA DE ",N211,". PLANTILLA ",O211,". SUELA DE ",P211)</f>
        <v>BOTA PU S5+CI+SRC Verde Oscuro 42. FABRICADO EN PU. PUNTERA DE Acero. PLANTILLA Acero. SUELA DE PU/PU DOBLE DENSIDAD</v>
      </c>
      <c r="F211" t="str">
        <f>PROPER(E211)</f>
        <v>Bota Pu S5+Ci+Src Verde Oscuro 42. Fabricado En Pu. Puntera De Acero. Plantilla Acero. Suela De Pu/Pu Doble Densidad</v>
      </c>
      <c r="G211" s="24">
        <f>VLOOKUP(B211,Tabla1[],2,0)</f>
        <v>26.6</v>
      </c>
      <c r="H211" s="24">
        <f>+G211/0.72</f>
        <v>36.94444444444445</v>
      </c>
      <c r="I211" s="24">
        <f>+H211*1.21</f>
        <v>44.702777777777783</v>
      </c>
      <c r="J211" s="24" t="s">
        <v>2326</v>
      </c>
      <c r="K211" s="24" t="s">
        <v>2369</v>
      </c>
      <c r="L211" t="s">
        <v>1404</v>
      </c>
      <c r="M211" t="s">
        <v>1391</v>
      </c>
      <c r="N211" t="s">
        <v>1426</v>
      </c>
      <c r="O211" t="s">
        <v>1426</v>
      </c>
      <c r="P211" t="s">
        <v>1429</v>
      </c>
      <c r="Q211">
        <v>42</v>
      </c>
      <c r="R211" s="2">
        <v>8457780322082</v>
      </c>
      <c r="S211" s="3" t="s">
        <v>829</v>
      </c>
      <c r="T211" s="1" t="s">
        <v>1389</v>
      </c>
    </row>
    <row r="212" spans="1:21" x14ac:dyDescent="0.25">
      <c r="A212" t="s">
        <v>153</v>
      </c>
      <c r="B212" t="s">
        <v>2230</v>
      </c>
      <c r="C212" t="s">
        <v>161</v>
      </c>
      <c r="D212" t="s">
        <v>1578</v>
      </c>
      <c r="E212" t="str">
        <f>+CONCATENATE(D212,". FABRICADO EN ",M212,". PUNTERA DE ",N212,". PLANTILLA ",O212,". SUELA DE ",P212)</f>
        <v>BOTA PU S5+CI+SRC Verde Oscuro 43. FABRICADO EN PU. PUNTERA DE Acero. PLANTILLA Acero. SUELA DE PU/PU DOBLE DENSIDAD</v>
      </c>
      <c r="F212" t="str">
        <f>PROPER(E212)</f>
        <v>Bota Pu S5+Ci+Src Verde Oscuro 43. Fabricado En Pu. Puntera De Acero. Plantilla Acero. Suela De Pu/Pu Doble Densidad</v>
      </c>
      <c r="G212" s="24">
        <f>VLOOKUP(B212,Tabla1[],2,0)</f>
        <v>26.6</v>
      </c>
      <c r="H212" s="24">
        <f>+G212/0.72</f>
        <v>36.94444444444445</v>
      </c>
      <c r="I212" s="24">
        <f>+H212*1.21</f>
        <v>44.702777777777783</v>
      </c>
      <c r="J212" s="24" t="s">
        <v>2326</v>
      </c>
      <c r="K212" s="24" t="s">
        <v>2369</v>
      </c>
      <c r="L212" t="s">
        <v>1404</v>
      </c>
      <c r="M212" t="s">
        <v>1391</v>
      </c>
      <c r="N212" t="s">
        <v>1426</v>
      </c>
      <c r="O212" t="s">
        <v>1426</v>
      </c>
      <c r="P212" t="s">
        <v>1429</v>
      </c>
      <c r="Q212">
        <v>43</v>
      </c>
      <c r="R212" s="2">
        <v>8457780322099</v>
      </c>
      <c r="S212" s="3" t="s">
        <v>830</v>
      </c>
      <c r="T212" s="1" t="s">
        <v>1389</v>
      </c>
    </row>
    <row r="213" spans="1:21" x14ac:dyDescent="0.25">
      <c r="A213" t="s">
        <v>153</v>
      </c>
      <c r="B213" t="s">
        <v>2230</v>
      </c>
      <c r="C213" t="s">
        <v>162</v>
      </c>
      <c r="D213" t="s">
        <v>1579</v>
      </c>
      <c r="E213" t="str">
        <f>+CONCATENATE(D213,". FABRICADO EN ",M213,". PUNTERA DE ",N213,". PLANTILLA ",O213,". SUELA DE ",P213)</f>
        <v>BOTA PU S5+CI+SRC Verde Oscuro 44. FABRICADO EN PU. PUNTERA DE Acero. PLANTILLA Acero. SUELA DE PU/PU DOBLE DENSIDAD</v>
      </c>
      <c r="F213" t="str">
        <f>PROPER(E213)</f>
        <v>Bota Pu S5+Ci+Src Verde Oscuro 44. Fabricado En Pu. Puntera De Acero. Plantilla Acero. Suela De Pu/Pu Doble Densidad</v>
      </c>
      <c r="G213" s="24">
        <f>VLOOKUP(B213,Tabla1[],2,0)</f>
        <v>26.6</v>
      </c>
      <c r="H213" s="24">
        <f>+G213/0.72</f>
        <v>36.94444444444445</v>
      </c>
      <c r="I213" s="24">
        <f>+H213*1.21</f>
        <v>44.702777777777783</v>
      </c>
      <c r="J213" s="24" t="s">
        <v>2326</v>
      </c>
      <c r="K213" s="24" t="s">
        <v>2369</v>
      </c>
      <c r="L213" t="s">
        <v>1404</v>
      </c>
      <c r="M213" t="s">
        <v>1391</v>
      </c>
      <c r="N213" t="s">
        <v>1426</v>
      </c>
      <c r="O213" t="s">
        <v>1426</v>
      </c>
      <c r="P213" t="s">
        <v>1429</v>
      </c>
      <c r="Q213">
        <v>44</v>
      </c>
      <c r="R213" s="2">
        <v>8457780322105</v>
      </c>
      <c r="S213" s="3" t="s">
        <v>831</v>
      </c>
      <c r="T213" s="1" t="s">
        <v>1389</v>
      </c>
    </row>
    <row r="214" spans="1:21" x14ac:dyDescent="0.25">
      <c r="A214" t="s">
        <v>153</v>
      </c>
      <c r="B214" t="s">
        <v>2230</v>
      </c>
      <c r="C214" t="s">
        <v>163</v>
      </c>
      <c r="D214" t="s">
        <v>1580</v>
      </c>
      <c r="E214" t="str">
        <f>+CONCATENATE(D214,". FABRICADO EN ",M214,". PUNTERA DE ",N214,". PLANTILLA ",O214,". SUELA DE ",P214)</f>
        <v>BOTA PU S5+CI+SRC Verde Oscuro 45. FABRICADO EN PU. PUNTERA DE Acero. PLANTILLA Acero. SUELA DE PU/PU DOBLE DENSIDAD</v>
      </c>
      <c r="F214" t="str">
        <f>PROPER(E214)</f>
        <v>Bota Pu S5+Ci+Src Verde Oscuro 45. Fabricado En Pu. Puntera De Acero. Plantilla Acero. Suela De Pu/Pu Doble Densidad</v>
      </c>
      <c r="G214" s="24">
        <f>VLOOKUP(B214,Tabla1[],2,0)</f>
        <v>26.6</v>
      </c>
      <c r="H214" s="24">
        <f>+G214/0.72</f>
        <v>36.94444444444445</v>
      </c>
      <c r="I214" s="24">
        <f>+H214*1.21</f>
        <v>44.702777777777783</v>
      </c>
      <c r="J214" s="24" t="s">
        <v>2326</v>
      </c>
      <c r="K214" s="24" t="s">
        <v>2369</v>
      </c>
      <c r="L214" t="s">
        <v>1404</v>
      </c>
      <c r="M214" t="s">
        <v>1391</v>
      </c>
      <c r="N214" t="s">
        <v>1426</v>
      </c>
      <c r="O214" t="s">
        <v>1426</v>
      </c>
      <c r="P214" t="s">
        <v>1429</v>
      </c>
      <c r="Q214">
        <v>45</v>
      </c>
      <c r="R214" s="2">
        <v>8457780322112</v>
      </c>
      <c r="S214" s="3" t="s">
        <v>832</v>
      </c>
      <c r="T214" s="1" t="s">
        <v>1389</v>
      </c>
    </row>
    <row r="215" spans="1:21" x14ac:dyDescent="0.25">
      <c r="A215" t="s">
        <v>153</v>
      </c>
      <c r="B215" t="s">
        <v>2230</v>
      </c>
      <c r="C215" t="s">
        <v>164</v>
      </c>
      <c r="D215" t="s">
        <v>1581</v>
      </c>
      <c r="E215" t="str">
        <f>+CONCATENATE(D215,". FABRICADO EN ",M215,". PUNTERA DE ",N215,". PLANTILLA ",O215,". SUELA DE ",P215)</f>
        <v>BOTA PU S5+CI+SRC Verde Oscuro 46. FABRICADO EN PU. PUNTERA DE Acero. PLANTILLA Acero. SUELA DE PU/PU DOBLE DENSIDAD</v>
      </c>
      <c r="F215" t="str">
        <f>PROPER(E215)</f>
        <v>Bota Pu S5+Ci+Src Verde Oscuro 46. Fabricado En Pu. Puntera De Acero. Plantilla Acero. Suela De Pu/Pu Doble Densidad</v>
      </c>
      <c r="G215" s="24">
        <f>VLOOKUP(B215,Tabla1[],2,0)</f>
        <v>26.6</v>
      </c>
      <c r="H215" s="24">
        <f>+G215/0.72</f>
        <v>36.94444444444445</v>
      </c>
      <c r="I215" s="24">
        <f>+H215*1.21</f>
        <v>44.702777777777783</v>
      </c>
      <c r="J215" s="24" t="s">
        <v>2326</v>
      </c>
      <c r="K215" s="24" t="s">
        <v>2369</v>
      </c>
      <c r="L215" t="s">
        <v>1404</v>
      </c>
      <c r="M215" t="s">
        <v>1391</v>
      </c>
      <c r="N215" t="s">
        <v>1426</v>
      </c>
      <c r="O215" t="s">
        <v>1426</v>
      </c>
      <c r="P215" t="s">
        <v>1429</v>
      </c>
      <c r="Q215">
        <v>46</v>
      </c>
      <c r="R215" s="2">
        <v>8457780322129</v>
      </c>
      <c r="S215" s="3" t="s">
        <v>833</v>
      </c>
      <c r="T215" s="1" t="s">
        <v>1389</v>
      </c>
    </row>
    <row r="216" spans="1:21" x14ac:dyDescent="0.25">
      <c r="A216" t="s">
        <v>153</v>
      </c>
      <c r="B216" t="s">
        <v>2230</v>
      </c>
      <c r="C216" t="s">
        <v>165</v>
      </c>
      <c r="D216" t="s">
        <v>1582</v>
      </c>
      <c r="E216" t="str">
        <f>+CONCATENATE(D216,". FABRICADO EN ",M216,". PUNTERA DE ",N216,". PLANTILLA ",O216,". SUELA DE ",P216)</f>
        <v>BOTA PU S5+CI+SRC Verde Oscuro 47. FABRICADO EN PU. PUNTERA DE Acero. PLANTILLA Acero. SUELA DE PU/PU DOBLE DENSIDAD</v>
      </c>
      <c r="F216" t="str">
        <f>PROPER(E216)</f>
        <v>Bota Pu S5+Ci+Src Verde Oscuro 47. Fabricado En Pu. Puntera De Acero. Plantilla Acero. Suela De Pu/Pu Doble Densidad</v>
      </c>
      <c r="G216" s="24">
        <f>VLOOKUP(B216,Tabla1[],2,0)</f>
        <v>26.6</v>
      </c>
      <c r="H216" s="24">
        <f>+G216/0.72</f>
        <v>36.94444444444445</v>
      </c>
      <c r="I216" s="24">
        <f>+H216*1.21</f>
        <v>44.702777777777783</v>
      </c>
      <c r="J216" s="24" t="s">
        <v>2326</v>
      </c>
      <c r="K216" s="24" t="s">
        <v>2369</v>
      </c>
      <c r="L216" t="s">
        <v>1404</v>
      </c>
      <c r="M216" t="s">
        <v>1391</v>
      </c>
      <c r="N216" t="s">
        <v>1426</v>
      </c>
      <c r="O216" t="s">
        <v>1426</v>
      </c>
      <c r="P216" t="s">
        <v>1429</v>
      </c>
      <c r="Q216">
        <v>47</v>
      </c>
      <c r="R216" s="2">
        <v>8457780322136</v>
      </c>
      <c r="S216" s="3" t="s">
        <v>834</v>
      </c>
      <c r="T216" s="1" t="s">
        <v>1389</v>
      </c>
    </row>
    <row r="217" spans="1:21" x14ac:dyDescent="0.25">
      <c r="A217" t="s">
        <v>153</v>
      </c>
      <c r="B217" t="s">
        <v>2230</v>
      </c>
      <c r="C217" t="s">
        <v>166</v>
      </c>
      <c r="D217" t="s">
        <v>1583</v>
      </c>
      <c r="E217" t="str">
        <f>+CONCATENATE(D217,". FABRICADO EN ",M217,". PUNTERA DE ",N217,". PLANTILLA ",O217,". SUELA DE ",P217)</f>
        <v>BOTA PU S5+CI+SRC Verde Oscuro 48. FABRICADO EN PU. PUNTERA DE Acero. PLANTILLA Acero. SUELA DE PU/PU DOBLE DENSIDAD</v>
      </c>
      <c r="F217" t="str">
        <f>PROPER(E217)</f>
        <v>Bota Pu S5+Ci+Src Verde Oscuro 48. Fabricado En Pu. Puntera De Acero. Plantilla Acero. Suela De Pu/Pu Doble Densidad</v>
      </c>
      <c r="G217" s="24">
        <f>VLOOKUP(B217,Tabla1[],2,0)</f>
        <v>26.6</v>
      </c>
      <c r="H217" s="24">
        <f>+G217/0.72</f>
        <v>36.94444444444445</v>
      </c>
      <c r="I217" s="24">
        <f>+H217*1.21</f>
        <v>44.702777777777783</v>
      </c>
      <c r="J217" s="24" t="s">
        <v>2326</v>
      </c>
      <c r="K217" s="24" t="s">
        <v>2369</v>
      </c>
      <c r="L217" t="s">
        <v>1404</v>
      </c>
      <c r="M217" t="s">
        <v>1391</v>
      </c>
      <c r="N217" t="s">
        <v>1426</v>
      </c>
      <c r="O217" t="s">
        <v>1426</v>
      </c>
      <c r="P217" t="s">
        <v>1429</v>
      </c>
      <c r="Q217">
        <v>48</v>
      </c>
      <c r="R217" s="2">
        <v>8457780322143</v>
      </c>
      <c r="S217" s="3" t="s">
        <v>835</v>
      </c>
      <c r="T217" s="1" t="s">
        <v>1389</v>
      </c>
    </row>
    <row r="218" spans="1:21" x14ac:dyDescent="0.25">
      <c r="A218" t="s">
        <v>167</v>
      </c>
      <c r="B218" t="s">
        <v>2231</v>
      </c>
      <c r="C218" t="s">
        <v>168</v>
      </c>
      <c r="D218" t="s">
        <v>1584</v>
      </c>
      <c r="E218" t="str">
        <f>+CONCATENATE(D218,". FABRICADO EN ",M218,". PUNTERA DE ",N218,". PLANTILLA ",O218,". SUELA DE ",P218)</f>
        <v>BOTA S3S+CI+HI+HRO+FO+SR+ESD Negro 35. FABRICADO EN MATERIAL ANTIABRASION . PUNTERA DE Fibra de vidrio. PLANTILLA Antiperforación textil. SUELA DE EVA/CAUCHO-NITRILO</v>
      </c>
      <c r="F218" t="str">
        <f>PROPER(E218)</f>
        <v>Bota S3S+Ci+Hi+Hro+Fo+Sr+Esd Negro 35. Fabricado En Material Antiabrasion . Puntera De Fibra De Vidrio. Plantilla Antiperforación Textil. Suela De Eva/Caucho-Nitrilo</v>
      </c>
      <c r="G218" s="24">
        <f>VLOOKUP(B218,Tabla1[],2,0)</f>
        <v>33.9</v>
      </c>
      <c r="H218" s="24">
        <f>+G218/0.72</f>
        <v>47.083333333333336</v>
      </c>
      <c r="I218" s="24">
        <f>+H218*1.21</f>
        <v>56.970833333333331</v>
      </c>
      <c r="J218" s="24" t="s">
        <v>2326</v>
      </c>
      <c r="K218" s="24" t="s">
        <v>2365</v>
      </c>
      <c r="L218" t="s">
        <v>1392</v>
      </c>
      <c r="M218" t="s">
        <v>1421</v>
      </c>
      <c r="N218" t="s">
        <v>1425</v>
      </c>
      <c r="O218" t="s">
        <v>1428</v>
      </c>
      <c r="P218" t="s">
        <v>1431</v>
      </c>
      <c r="Q218">
        <v>35</v>
      </c>
      <c r="R218" s="2">
        <v>8457780312687</v>
      </c>
      <c r="S218" s="3" t="s">
        <v>836</v>
      </c>
      <c r="T218" t="s">
        <v>1381</v>
      </c>
      <c r="U218" t="s">
        <v>1382</v>
      </c>
    </row>
    <row r="219" spans="1:21" x14ac:dyDescent="0.25">
      <c r="A219" t="s">
        <v>167</v>
      </c>
      <c r="B219" t="s">
        <v>2231</v>
      </c>
      <c r="C219" t="s">
        <v>169</v>
      </c>
      <c r="D219" t="s">
        <v>1585</v>
      </c>
      <c r="E219" t="str">
        <f>+CONCATENATE(D219,". FABRICADO EN ",M219,". PUNTERA DE ",N219,". PLANTILLA ",O219,". SUELA DE ",P219)</f>
        <v>BOTA S3S+CI+HI+HRO+FO+SR+ESD Negro 36. FABRICADO EN MATERIAL ANTIABRASION . PUNTERA DE Fibra de vidrio. PLANTILLA Antiperforación textil. SUELA DE EVA/CAUCHO-NITRILO</v>
      </c>
      <c r="F219" t="str">
        <f>PROPER(E219)</f>
        <v>Bota S3S+Ci+Hi+Hro+Fo+Sr+Esd Negro 36. Fabricado En Material Antiabrasion . Puntera De Fibra De Vidrio. Plantilla Antiperforación Textil. Suela De Eva/Caucho-Nitrilo</v>
      </c>
      <c r="G219" s="24">
        <f>VLOOKUP(B219,Tabla1[],2,0)</f>
        <v>33.9</v>
      </c>
      <c r="H219" s="24">
        <f>+G219/0.72</f>
        <v>47.083333333333336</v>
      </c>
      <c r="I219" s="24">
        <f>+H219*1.21</f>
        <v>56.970833333333331</v>
      </c>
      <c r="J219" s="24" t="s">
        <v>2326</v>
      </c>
      <c r="K219" s="24" t="s">
        <v>2365</v>
      </c>
      <c r="L219" t="s">
        <v>1392</v>
      </c>
      <c r="M219" t="s">
        <v>1421</v>
      </c>
      <c r="N219" t="s">
        <v>1425</v>
      </c>
      <c r="O219" t="s">
        <v>1428</v>
      </c>
      <c r="P219" t="s">
        <v>1431</v>
      </c>
      <c r="Q219">
        <v>36</v>
      </c>
      <c r="R219" s="2">
        <v>8457780312694</v>
      </c>
      <c r="S219" s="3" t="s">
        <v>837</v>
      </c>
      <c r="T219" t="s">
        <v>1381</v>
      </c>
      <c r="U219" t="s">
        <v>1382</v>
      </c>
    </row>
    <row r="220" spans="1:21" x14ac:dyDescent="0.25">
      <c r="A220" t="s">
        <v>167</v>
      </c>
      <c r="B220" t="s">
        <v>2231</v>
      </c>
      <c r="C220" t="s">
        <v>170</v>
      </c>
      <c r="D220" t="s">
        <v>1586</v>
      </c>
      <c r="E220" t="str">
        <f>+CONCATENATE(D220,". FABRICADO EN ",M220,". PUNTERA DE ",N220,". PLANTILLA ",O220,". SUELA DE ",P220)</f>
        <v>BOTA S3S+CI+HI+HRO+FO+SR+ESD Negro 37. FABRICADO EN MATERIAL ANTIABRASION . PUNTERA DE Fibra de vidrio. PLANTILLA Antiperforación textil. SUELA DE EVA/CAUCHO-NITRILO</v>
      </c>
      <c r="F220" t="str">
        <f>PROPER(E220)</f>
        <v>Bota S3S+Ci+Hi+Hro+Fo+Sr+Esd Negro 37. Fabricado En Material Antiabrasion . Puntera De Fibra De Vidrio. Plantilla Antiperforación Textil. Suela De Eva/Caucho-Nitrilo</v>
      </c>
      <c r="G220" s="24">
        <f>VLOOKUP(B220,Tabla1[],2,0)</f>
        <v>33.9</v>
      </c>
      <c r="H220" s="24">
        <f>+G220/0.72</f>
        <v>47.083333333333336</v>
      </c>
      <c r="I220" s="24">
        <f>+H220*1.21</f>
        <v>56.970833333333331</v>
      </c>
      <c r="J220" s="24" t="s">
        <v>2326</v>
      </c>
      <c r="K220" s="24" t="s">
        <v>2365</v>
      </c>
      <c r="L220" t="s">
        <v>1392</v>
      </c>
      <c r="M220" t="s">
        <v>1421</v>
      </c>
      <c r="N220" t="s">
        <v>1425</v>
      </c>
      <c r="O220" t="s">
        <v>1428</v>
      </c>
      <c r="P220" t="s">
        <v>1431</v>
      </c>
      <c r="Q220">
        <v>37</v>
      </c>
      <c r="R220" s="2">
        <v>8457780312700</v>
      </c>
      <c r="S220" s="3" t="s">
        <v>838</v>
      </c>
      <c r="T220" t="s">
        <v>1381</v>
      </c>
      <c r="U220" t="s">
        <v>1382</v>
      </c>
    </row>
    <row r="221" spans="1:21" x14ac:dyDescent="0.25">
      <c r="A221" t="s">
        <v>167</v>
      </c>
      <c r="B221" t="s">
        <v>2231</v>
      </c>
      <c r="C221" t="s">
        <v>171</v>
      </c>
      <c r="D221" t="s">
        <v>1587</v>
      </c>
      <c r="E221" t="str">
        <f>+CONCATENATE(D221,". FABRICADO EN ",M221,". PUNTERA DE ",N221,". PLANTILLA ",O221,". SUELA DE ",P221)</f>
        <v>BOTA S3S+CI+HI+HRO+FO+SR+ESD Negro 38. FABRICADO EN MATERIAL ANTIABRASION . PUNTERA DE Fibra de vidrio. PLANTILLA Antiperforación textil. SUELA DE EVA/CAUCHO-NITRILO</v>
      </c>
      <c r="F221" t="str">
        <f>PROPER(E221)</f>
        <v>Bota S3S+Ci+Hi+Hro+Fo+Sr+Esd Negro 38. Fabricado En Material Antiabrasion . Puntera De Fibra De Vidrio. Plantilla Antiperforación Textil. Suela De Eva/Caucho-Nitrilo</v>
      </c>
      <c r="G221" s="24">
        <f>VLOOKUP(B221,Tabla1[],2,0)</f>
        <v>33.9</v>
      </c>
      <c r="H221" s="24">
        <f>+G221/0.72</f>
        <v>47.083333333333336</v>
      </c>
      <c r="I221" s="24">
        <f>+H221*1.21</f>
        <v>56.970833333333331</v>
      </c>
      <c r="J221" s="24" t="s">
        <v>2326</v>
      </c>
      <c r="K221" s="24" t="s">
        <v>2365</v>
      </c>
      <c r="L221" t="s">
        <v>1392</v>
      </c>
      <c r="M221" t="s">
        <v>1421</v>
      </c>
      <c r="N221" t="s">
        <v>1425</v>
      </c>
      <c r="O221" t="s">
        <v>1428</v>
      </c>
      <c r="P221" t="s">
        <v>1431</v>
      </c>
      <c r="Q221">
        <v>38</v>
      </c>
      <c r="R221" s="2">
        <v>8457780312717</v>
      </c>
      <c r="S221" s="3" t="s">
        <v>839</v>
      </c>
      <c r="T221" t="s">
        <v>1381</v>
      </c>
      <c r="U221" t="s">
        <v>1382</v>
      </c>
    </row>
    <row r="222" spans="1:21" x14ac:dyDescent="0.25">
      <c r="A222" t="s">
        <v>167</v>
      </c>
      <c r="B222" t="s">
        <v>2231</v>
      </c>
      <c r="C222" t="s">
        <v>172</v>
      </c>
      <c r="D222" t="s">
        <v>1588</v>
      </c>
      <c r="E222" t="str">
        <f>+CONCATENATE(D222,". FABRICADO EN ",M222,". PUNTERA DE ",N222,". PLANTILLA ",O222,". SUELA DE ",P222)</f>
        <v>BOTA S3S+CI+HI+HRO+FO+SR+ESD Negro 39. FABRICADO EN MATERIAL ANTIABRASION . PUNTERA DE Fibra de vidrio. PLANTILLA Antiperforación textil. SUELA DE EVA/CAUCHO-NITRILO</v>
      </c>
      <c r="F222" t="str">
        <f>PROPER(E222)</f>
        <v>Bota S3S+Ci+Hi+Hro+Fo+Sr+Esd Negro 39. Fabricado En Material Antiabrasion . Puntera De Fibra De Vidrio. Plantilla Antiperforación Textil. Suela De Eva/Caucho-Nitrilo</v>
      </c>
      <c r="G222" s="24">
        <f>VLOOKUP(B222,Tabla1[],2,0)</f>
        <v>33.9</v>
      </c>
      <c r="H222" s="24">
        <f>+G222/0.72</f>
        <v>47.083333333333336</v>
      </c>
      <c r="I222" s="24">
        <f>+H222*1.21</f>
        <v>56.970833333333331</v>
      </c>
      <c r="J222" s="24" t="s">
        <v>2326</v>
      </c>
      <c r="K222" s="24" t="s">
        <v>2365</v>
      </c>
      <c r="L222" t="s">
        <v>1392</v>
      </c>
      <c r="M222" t="s">
        <v>1421</v>
      </c>
      <c r="N222" t="s">
        <v>1425</v>
      </c>
      <c r="O222" t="s">
        <v>1428</v>
      </c>
      <c r="P222" t="s">
        <v>1431</v>
      </c>
      <c r="Q222">
        <v>39</v>
      </c>
      <c r="R222" s="2">
        <v>8457780312724</v>
      </c>
      <c r="S222" s="3" t="s">
        <v>840</v>
      </c>
      <c r="T222" t="s">
        <v>1381</v>
      </c>
      <c r="U222" t="s">
        <v>1382</v>
      </c>
    </row>
    <row r="223" spans="1:21" x14ac:dyDescent="0.25">
      <c r="A223" t="s">
        <v>167</v>
      </c>
      <c r="B223" t="s">
        <v>2231</v>
      </c>
      <c r="C223" t="s">
        <v>173</v>
      </c>
      <c r="D223" t="s">
        <v>1589</v>
      </c>
      <c r="E223" t="str">
        <f>+CONCATENATE(D223,". FABRICADO EN ",M223,". PUNTERA DE ",N223,". PLANTILLA ",O223,". SUELA DE ",P223)</f>
        <v>BOTA S3S+CI+HI+HRO+FO+SR+ESD Negro 40. FABRICADO EN MATERIAL ANTIABRASION . PUNTERA DE Fibra de vidrio. PLANTILLA Antiperforación textil. SUELA DE EVA/CAUCHO-NITRILO</v>
      </c>
      <c r="F223" t="str">
        <f>PROPER(E223)</f>
        <v>Bota S3S+Ci+Hi+Hro+Fo+Sr+Esd Negro 40. Fabricado En Material Antiabrasion . Puntera De Fibra De Vidrio. Plantilla Antiperforación Textil. Suela De Eva/Caucho-Nitrilo</v>
      </c>
      <c r="G223" s="24">
        <f>VLOOKUP(B223,Tabla1[],2,0)</f>
        <v>33.9</v>
      </c>
      <c r="H223" s="24">
        <f>+G223/0.72</f>
        <v>47.083333333333336</v>
      </c>
      <c r="I223" s="24">
        <f>+H223*1.21</f>
        <v>56.970833333333331</v>
      </c>
      <c r="J223" s="24" t="s">
        <v>2326</v>
      </c>
      <c r="K223" s="24" t="s">
        <v>2365</v>
      </c>
      <c r="L223" t="s">
        <v>1392</v>
      </c>
      <c r="M223" t="s">
        <v>1421</v>
      </c>
      <c r="N223" t="s">
        <v>1425</v>
      </c>
      <c r="O223" t="s">
        <v>1428</v>
      </c>
      <c r="P223" t="s">
        <v>1431</v>
      </c>
      <c r="Q223">
        <v>40</v>
      </c>
      <c r="R223" s="2">
        <v>8457780312731</v>
      </c>
      <c r="S223" s="3" t="s">
        <v>841</v>
      </c>
      <c r="T223" t="s">
        <v>1381</v>
      </c>
      <c r="U223" t="s">
        <v>1382</v>
      </c>
    </row>
    <row r="224" spans="1:21" x14ac:dyDescent="0.25">
      <c r="A224" t="s">
        <v>167</v>
      </c>
      <c r="B224" t="s">
        <v>2231</v>
      </c>
      <c r="C224" t="s">
        <v>174</v>
      </c>
      <c r="D224" t="s">
        <v>1590</v>
      </c>
      <c r="E224" t="str">
        <f>+CONCATENATE(D224,". FABRICADO EN ",M224,". PUNTERA DE ",N224,". PLANTILLA ",O224,". SUELA DE ",P224)</f>
        <v>BOTA S3S+CI+HI+HRO+FO+SR+ESD Negro 41. FABRICADO EN MATERIAL ANTIABRASION . PUNTERA DE Fibra de vidrio. PLANTILLA Antiperforación textil. SUELA DE EVA/CAUCHO-NITRILO</v>
      </c>
      <c r="F224" t="str">
        <f>PROPER(E224)</f>
        <v>Bota S3S+Ci+Hi+Hro+Fo+Sr+Esd Negro 41. Fabricado En Material Antiabrasion . Puntera De Fibra De Vidrio. Plantilla Antiperforación Textil. Suela De Eva/Caucho-Nitrilo</v>
      </c>
      <c r="G224" s="24">
        <f>VLOOKUP(B224,Tabla1[],2,0)</f>
        <v>33.9</v>
      </c>
      <c r="H224" s="24">
        <f>+G224/0.72</f>
        <v>47.083333333333336</v>
      </c>
      <c r="I224" s="24">
        <f>+H224*1.21</f>
        <v>56.970833333333331</v>
      </c>
      <c r="J224" s="24" t="s">
        <v>2326</v>
      </c>
      <c r="K224" s="24" t="s">
        <v>2365</v>
      </c>
      <c r="L224" t="s">
        <v>1392</v>
      </c>
      <c r="M224" t="s">
        <v>1421</v>
      </c>
      <c r="N224" t="s">
        <v>1425</v>
      </c>
      <c r="O224" t="s">
        <v>1428</v>
      </c>
      <c r="P224" t="s">
        <v>1431</v>
      </c>
      <c r="Q224">
        <v>41</v>
      </c>
      <c r="R224" s="2">
        <v>8457780312748</v>
      </c>
      <c r="S224" s="3" t="s">
        <v>842</v>
      </c>
      <c r="T224" t="s">
        <v>1381</v>
      </c>
      <c r="U224" t="s">
        <v>1382</v>
      </c>
    </row>
    <row r="225" spans="1:21" x14ac:dyDescent="0.25">
      <c r="A225" t="s">
        <v>167</v>
      </c>
      <c r="B225" t="s">
        <v>2231</v>
      </c>
      <c r="C225" t="s">
        <v>175</v>
      </c>
      <c r="D225" t="s">
        <v>1591</v>
      </c>
      <c r="E225" t="str">
        <f>+CONCATENATE(D225,". FABRICADO EN ",M225,". PUNTERA DE ",N225,". PLANTILLA ",O225,". SUELA DE ",P225)</f>
        <v>BOTA S3S+CI+HI+HRO+FO+SR+ESD Negro 42. FABRICADO EN MATERIAL ANTIABRASION . PUNTERA DE Fibra de vidrio. PLANTILLA Antiperforación textil. SUELA DE EVA/CAUCHO-NITRILO</v>
      </c>
      <c r="F225" t="str">
        <f>PROPER(E225)</f>
        <v>Bota S3S+Ci+Hi+Hro+Fo+Sr+Esd Negro 42. Fabricado En Material Antiabrasion . Puntera De Fibra De Vidrio. Plantilla Antiperforación Textil. Suela De Eva/Caucho-Nitrilo</v>
      </c>
      <c r="G225" s="24">
        <f>VLOOKUP(B225,Tabla1[],2,0)</f>
        <v>33.9</v>
      </c>
      <c r="H225" s="24">
        <f>+G225/0.72</f>
        <v>47.083333333333336</v>
      </c>
      <c r="I225" s="24">
        <f>+H225*1.21</f>
        <v>56.970833333333331</v>
      </c>
      <c r="J225" s="24" t="s">
        <v>2326</v>
      </c>
      <c r="K225" s="24" t="s">
        <v>2365</v>
      </c>
      <c r="L225" t="s">
        <v>1392</v>
      </c>
      <c r="M225" t="s">
        <v>1421</v>
      </c>
      <c r="N225" t="s">
        <v>1425</v>
      </c>
      <c r="O225" t="s">
        <v>1428</v>
      </c>
      <c r="P225" t="s">
        <v>1431</v>
      </c>
      <c r="Q225">
        <v>42</v>
      </c>
      <c r="R225" s="2">
        <v>8457780312755</v>
      </c>
      <c r="S225" s="3" t="s">
        <v>843</v>
      </c>
      <c r="T225" t="s">
        <v>1381</v>
      </c>
      <c r="U225" t="s">
        <v>1382</v>
      </c>
    </row>
    <row r="226" spans="1:21" x14ac:dyDescent="0.25">
      <c r="A226" t="s">
        <v>167</v>
      </c>
      <c r="B226" t="s">
        <v>2231</v>
      </c>
      <c r="C226" t="s">
        <v>176</v>
      </c>
      <c r="D226" t="s">
        <v>1592</v>
      </c>
      <c r="E226" t="str">
        <f>+CONCATENATE(D226,". FABRICADO EN ",M226,". PUNTERA DE ",N226,". PLANTILLA ",O226,". SUELA DE ",P226)</f>
        <v>BOTA S3S+CI+HI+HRO+FO+SR+ESD Negro 43. FABRICADO EN MATERIAL ANTIABRASION . PUNTERA DE Fibra de vidrio. PLANTILLA Antiperforación textil. SUELA DE EVA/CAUCHO-NITRILO</v>
      </c>
      <c r="F226" t="str">
        <f>PROPER(E226)</f>
        <v>Bota S3S+Ci+Hi+Hro+Fo+Sr+Esd Negro 43. Fabricado En Material Antiabrasion . Puntera De Fibra De Vidrio. Plantilla Antiperforación Textil. Suela De Eva/Caucho-Nitrilo</v>
      </c>
      <c r="G226" s="24">
        <f>VLOOKUP(B226,Tabla1[],2,0)</f>
        <v>33.9</v>
      </c>
      <c r="H226" s="24">
        <f>+G226/0.72</f>
        <v>47.083333333333336</v>
      </c>
      <c r="I226" s="24">
        <f>+H226*1.21</f>
        <v>56.970833333333331</v>
      </c>
      <c r="J226" s="24" t="s">
        <v>2326</v>
      </c>
      <c r="K226" s="24" t="s">
        <v>2365</v>
      </c>
      <c r="L226" t="s">
        <v>1392</v>
      </c>
      <c r="M226" t="s">
        <v>1421</v>
      </c>
      <c r="N226" t="s">
        <v>1425</v>
      </c>
      <c r="O226" t="s">
        <v>1428</v>
      </c>
      <c r="P226" t="s">
        <v>1431</v>
      </c>
      <c r="Q226">
        <v>43</v>
      </c>
      <c r="R226" s="2">
        <v>8457780312762</v>
      </c>
      <c r="S226" s="3" t="s">
        <v>844</v>
      </c>
      <c r="T226" t="s">
        <v>1381</v>
      </c>
      <c r="U226" t="s">
        <v>1382</v>
      </c>
    </row>
    <row r="227" spans="1:21" x14ac:dyDescent="0.25">
      <c r="A227" t="s">
        <v>167</v>
      </c>
      <c r="B227" t="s">
        <v>2231</v>
      </c>
      <c r="C227" t="s">
        <v>177</v>
      </c>
      <c r="D227" t="s">
        <v>1593</v>
      </c>
      <c r="E227" t="str">
        <f>+CONCATENATE(D227,". FABRICADO EN ",M227,". PUNTERA DE ",N227,". PLANTILLA ",O227,". SUELA DE ",P227)</f>
        <v>BOTA S3S+CI+HI+HRO+FO+SR+ESD Negro 44. FABRICADO EN MATERIAL ANTIABRASION . PUNTERA DE Fibra de vidrio. PLANTILLA Antiperforación textil. SUELA DE EVA/CAUCHO-NITRILO</v>
      </c>
      <c r="F227" t="str">
        <f>PROPER(E227)</f>
        <v>Bota S3S+Ci+Hi+Hro+Fo+Sr+Esd Negro 44. Fabricado En Material Antiabrasion . Puntera De Fibra De Vidrio. Plantilla Antiperforación Textil. Suela De Eva/Caucho-Nitrilo</v>
      </c>
      <c r="G227" s="24">
        <f>VLOOKUP(B227,Tabla1[],2,0)</f>
        <v>33.9</v>
      </c>
      <c r="H227" s="24">
        <f>+G227/0.72</f>
        <v>47.083333333333336</v>
      </c>
      <c r="I227" s="24">
        <f>+H227*1.21</f>
        <v>56.970833333333331</v>
      </c>
      <c r="J227" s="24" t="s">
        <v>2326</v>
      </c>
      <c r="K227" s="24" t="s">
        <v>2365</v>
      </c>
      <c r="L227" t="s">
        <v>1392</v>
      </c>
      <c r="M227" t="s">
        <v>1421</v>
      </c>
      <c r="N227" t="s">
        <v>1425</v>
      </c>
      <c r="O227" t="s">
        <v>1428</v>
      </c>
      <c r="P227" t="s">
        <v>1431</v>
      </c>
      <c r="Q227">
        <v>44</v>
      </c>
      <c r="R227" s="2">
        <v>8457780312779</v>
      </c>
      <c r="S227" s="3" t="s">
        <v>845</v>
      </c>
      <c r="T227" t="s">
        <v>1381</v>
      </c>
      <c r="U227" t="s">
        <v>1382</v>
      </c>
    </row>
    <row r="228" spans="1:21" x14ac:dyDescent="0.25">
      <c r="A228" t="s">
        <v>167</v>
      </c>
      <c r="B228" t="s">
        <v>2231</v>
      </c>
      <c r="C228" t="s">
        <v>178</v>
      </c>
      <c r="D228" t="s">
        <v>1594</v>
      </c>
      <c r="E228" t="str">
        <f>+CONCATENATE(D228,". FABRICADO EN ",M228,". PUNTERA DE ",N228,". PLANTILLA ",O228,". SUELA DE ",P228)</f>
        <v>BOTA S3S+CI+HI+HRO+FO+SR+ESD Negro 45. FABRICADO EN MATERIAL ANTIABRASION . PUNTERA DE Fibra de vidrio. PLANTILLA Antiperforación textil. SUELA DE EVA/CAUCHO-NITRILO</v>
      </c>
      <c r="F228" t="str">
        <f>PROPER(E228)</f>
        <v>Bota S3S+Ci+Hi+Hro+Fo+Sr+Esd Negro 45. Fabricado En Material Antiabrasion . Puntera De Fibra De Vidrio. Plantilla Antiperforación Textil. Suela De Eva/Caucho-Nitrilo</v>
      </c>
      <c r="G228" s="24">
        <f>VLOOKUP(B228,Tabla1[],2,0)</f>
        <v>33.9</v>
      </c>
      <c r="H228" s="24">
        <f>+G228/0.72</f>
        <v>47.083333333333336</v>
      </c>
      <c r="I228" s="24">
        <f>+H228*1.21</f>
        <v>56.970833333333331</v>
      </c>
      <c r="J228" s="24" t="s">
        <v>2326</v>
      </c>
      <c r="K228" s="24" t="s">
        <v>2365</v>
      </c>
      <c r="L228" t="s">
        <v>1392</v>
      </c>
      <c r="M228" t="s">
        <v>1421</v>
      </c>
      <c r="N228" t="s">
        <v>1425</v>
      </c>
      <c r="O228" t="s">
        <v>1428</v>
      </c>
      <c r="P228" t="s">
        <v>1431</v>
      </c>
      <c r="Q228">
        <v>45</v>
      </c>
      <c r="R228" s="2">
        <v>8457780312786</v>
      </c>
      <c r="S228" s="3" t="s">
        <v>846</v>
      </c>
      <c r="T228" t="s">
        <v>1381</v>
      </c>
      <c r="U228" t="s">
        <v>1382</v>
      </c>
    </row>
    <row r="229" spans="1:21" x14ac:dyDescent="0.25">
      <c r="A229" t="s">
        <v>167</v>
      </c>
      <c r="B229" t="s">
        <v>2231</v>
      </c>
      <c r="C229" t="s">
        <v>179</v>
      </c>
      <c r="D229" t="s">
        <v>1595</v>
      </c>
      <c r="E229" t="str">
        <f>+CONCATENATE(D229,". FABRICADO EN ",M229,". PUNTERA DE ",N229,". PLANTILLA ",O229,". SUELA DE ",P229)</f>
        <v>BOTA S3S+CI+HI+HRO+FO+SR+ESD Negro 46. FABRICADO EN MATERIAL ANTIABRASION . PUNTERA DE Fibra de vidrio. PLANTILLA Antiperforación textil. SUELA DE EVA/CAUCHO-NITRILO</v>
      </c>
      <c r="F229" t="str">
        <f>PROPER(E229)</f>
        <v>Bota S3S+Ci+Hi+Hro+Fo+Sr+Esd Negro 46. Fabricado En Material Antiabrasion . Puntera De Fibra De Vidrio. Plantilla Antiperforación Textil. Suela De Eva/Caucho-Nitrilo</v>
      </c>
      <c r="G229" s="24">
        <f>VLOOKUP(B229,Tabla1[],2,0)</f>
        <v>33.9</v>
      </c>
      <c r="H229" s="24">
        <f>+G229/0.72</f>
        <v>47.083333333333336</v>
      </c>
      <c r="I229" s="24">
        <f>+H229*1.21</f>
        <v>56.970833333333331</v>
      </c>
      <c r="J229" s="24" t="s">
        <v>2326</v>
      </c>
      <c r="K229" s="24" t="s">
        <v>2365</v>
      </c>
      <c r="L229" t="s">
        <v>1392</v>
      </c>
      <c r="M229" t="s">
        <v>1421</v>
      </c>
      <c r="N229" t="s">
        <v>1425</v>
      </c>
      <c r="O229" t="s">
        <v>1428</v>
      </c>
      <c r="P229" t="s">
        <v>1431</v>
      </c>
      <c r="Q229">
        <v>46</v>
      </c>
      <c r="R229" s="2">
        <v>8457780312793</v>
      </c>
      <c r="S229" s="3" t="s">
        <v>847</v>
      </c>
      <c r="T229" t="s">
        <v>1381</v>
      </c>
      <c r="U229" t="s">
        <v>1382</v>
      </c>
    </row>
    <row r="230" spans="1:21" x14ac:dyDescent="0.25">
      <c r="A230" t="s">
        <v>167</v>
      </c>
      <c r="B230" t="s">
        <v>2231</v>
      </c>
      <c r="C230" t="s">
        <v>180</v>
      </c>
      <c r="D230" t="s">
        <v>1596</v>
      </c>
      <c r="E230" t="str">
        <f>+CONCATENATE(D230,". FABRICADO EN ",M230,". PUNTERA DE ",N230,". PLANTILLA ",O230,". SUELA DE ",P230)</f>
        <v>BOTA S3S+CI+HI+HRO+FO+SR+ESD Negro 47. FABRICADO EN MATERIAL ANTIABRASION . PUNTERA DE Fibra de vidrio. PLANTILLA Antiperforación textil. SUELA DE EVA/CAUCHO-NITRILO</v>
      </c>
      <c r="F230" t="str">
        <f>PROPER(E230)</f>
        <v>Bota S3S+Ci+Hi+Hro+Fo+Sr+Esd Negro 47. Fabricado En Material Antiabrasion . Puntera De Fibra De Vidrio. Plantilla Antiperforación Textil. Suela De Eva/Caucho-Nitrilo</v>
      </c>
      <c r="G230" s="24">
        <f>VLOOKUP(B230,Tabla1[],2,0)</f>
        <v>33.9</v>
      </c>
      <c r="H230" s="24">
        <f>+G230/0.72</f>
        <v>47.083333333333336</v>
      </c>
      <c r="I230" s="24">
        <f>+H230*1.21</f>
        <v>56.970833333333331</v>
      </c>
      <c r="J230" s="24" t="s">
        <v>2326</v>
      </c>
      <c r="K230" s="24" t="s">
        <v>2365</v>
      </c>
      <c r="L230" t="s">
        <v>1392</v>
      </c>
      <c r="M230" t="s">
        <v>1421</v>
      </c>
      <c r="N230" t="s">
        <v>1425</v>
      </c>
      <c r="O230" t="s">
        <v>1428</v>
      </c>
      <c r="P230" t="s">
        <v>1431</v>
      </c>
      <c r="Q230">
        <v>47</v>
      </c>
      <c r="R230" s="2">
        <v>8457780312809</v>
      </c>
      <c r="S230" s="3" t="s">
        <v>848</v>
      </c>
      <c r="T230" t="s">
        <v>1381</v>
      </c>
      <c r="U230" t="s">
        <v>1382</v>
      </c>
    </row>
    <row r="231" spans="1:21" x14ac:dyDescent="0.25">
      <c r="A231" t="s">
        <v>167</v>
      </c>
      <c r="B231" t="s">
        <v>2231</v>
      </c>
      <c r="C231" t="s">
        <v>181</v>
      </c>
      <c r="D231" t="s">
        <v>1597</v>
      </c>
      <c r="E231" t="str">
        <f>+CONCATENATE(D231,". FABRICADO EN ",M231,". PUNTERA DE ",N231,". PLANTILLA ",O231,". SUELA DE ",P231)</f>
        <v>BOTA S3S+CI+HI+HRO+FO+SR+ESD Negro 48. FABRICADO EN MATERIAL ANTIABRASION . PUNTERA DE Fibra de vidrio. PLANTILLA Antiperforación textil. SUELA DE EVA/CAUCHO-NITRILO</v>
      </c>
      <c r="F231" t="str">
        <f>PROPER(E231)</f>
        <v>Bota S3S+Ci+Hi+Hro+Fo+Sr+Esd Negro 48. Fabricado En Material Antiabrasion . Puntera De Fibra De Vidrio. Plantilla Antiperforación Textil. Suela De Eva/Caucho-Nitrilo</v>
      </c>
      <c r="G231" s="24">
        <f>VLOOKUP(B231,Tabla1[],2,0)</f>
        <v>33.9</v>
      </c>
      <c r="H231" s="24">
        <f>+G231/0.72</f>
        <v>47.083333333333336</v>
      </c>
      <c r="I231" s="24">
        <f>+H231*1.21</f>
        <v>56.970833333333331</v>
      </c>
      <c r="J231" s="24" t="s">
        <v>2326</v>
      </c>
      <c r="K231" s="24" t="s">
        <v>2365</v>
      </c>
      <c r="L231" t="s">
        <v>1392</v>
      </c>
      <c r="M231" t="s">
        <v>1421</v>
      </c>
      <c r="N231" t="s">
        <v>1425</v>
      </c>
      <c r="O231" t="s">
        <v>1428</v>
      </c>
      <c r="P231" t="s">
        <v>1431</v>
      </c>
      <c r="Q231">
        <v>48</v>
      </c>
      <c r="R231" s="2">
        <v>8457780312816</v>
      </c>
      <c r="S231" s="3" t="s">
        <v>849</v>
      </c>
      <c r="T231" t="s">
        <v>1381</v>
      </c>
      <c r="U231" t="s">
        <v>1382</v>
      </c>
    </row>
    <row r="232" spans="1:21" x14ac:dyDescent="0.25">
      <c r="A232" t="s">
        <v>182</v>
      </c>
      <c r="B232" t="s">
        <v>2232</v>
      </c>
      <c r="C232" t="s">
        <v>183</v>
      </c>
      <c r="D232" t="s">
        <v>2004</v>
      </c>
      <c r="E232" t="str">
        <f>+CONCATENATE(D232,". FABRICADO EN ",M232,". PUNTERA DE ",N232,". PLANTILLA ",O232,". SUELA DE ",P232)</f>
        <v>BOTA PIEL O6+CI+HI+HRO+FO+SR Marrón 35. FABRICADO EN PIEL NUBUCK . PUNTERA DE No lleva. PLANTILLA No lleva. SUELA DE EVA/CAUCHO-NITRILO</v>
      </c>
      <c r="F232" t="str">
        <f>PROPER(E232)</f>
        <v>Bota Piel O6+Ci+Hi+Hro+Fo+Sr Marrón 35. Fabricado En Piel Nubuck . Puntera De No Lleva. Plantilla No Lleva. Suela De Eva/Caucho-Nitrilo</v>
      </c>
      <c r="G232" s="24">
        <f>VLOOKUP(B232,Tabla1[],2,0)</f>
        <v>39.200000000000003</v>
      </c>
      <c r="H232" s="24">
        <f>+G232/0.72</f>
        <v>54.44444444444445</v>
      </c>
      <c r="I232" s="24">
        <f>+H232*1.21</f>
        <v>65.87777777777778</v>
      </c>
      <c r="J232" s="24" t="s">
        <v>2326</v>
      </c>
      <c r="K232" s="24" t="s">
        <v>2366</v>
      </c>
      <c r="L232" t="s">
        <v>2018</v>
      </c>
      <c r="M232" t="s">
        <v>1424</v>
      </c>
      <c r="N232" t="s">
        <v>1427</v>
      </c>
      <c r="O232" t="s">
        <v>1427</v>
      </c>
      <c r="P232" t="s">
        <v>1431</v>
      </c>
      <c r="Q232">
        <v>35</v>
      </c>
      <c r="R232" s="2">
        <v>8457780312823</v>
      </c>
      <c r="S232" s="3" t="s">
        <v>850</v>
      </c>
      <c r="T232" t="s">
        <v>1383</v>
      </c>
      <c r="U232" t="s">
        <v>1384</v>
      </c>
    </row>
    <row r="233" spans="1:21" x14ac:dyDescent="0.25">
      <c r="A233" t="s">
        <v>182</v>
      </c>
      <c r="B233" t="s">
        <v>2232</v>
      </c>
      <c r="C233" t="s">
        <v>184</v>
      </c>
      <c r="D233" t="s">
        <v>2005</v>
      </c>
      <c r="E233" t="str">
        <f>+CONCATENATE(D233,". FABRICADO EN ",M233,". PUNTERA DE ",N233,". PLANTILLA ",O233,". SUELA DE ",P233)</f>
        <v>BOTA PIEL O6+CI+HI+HRO+FO+SR Marrón 36. FABRICADO EN PIEL NUBUCK . PUNTERA DE No lleva. PLANTILLA No lleva. SUELA DE EVA/CAUCHO-NITRILO</v>
      </c>
      <c r="F233" t="str">
        <f>PROPER(E233)</f>
        <v>Bota Piel O6+Ci+Hi+Hro+Fo+Sr Marrón 36. Fabricado En Piel Nubuck . Puntera De No Lleva. Plantilla No Lleva. Suela De Eva/Caucho-Nitrilo</v>
      </c>
      <c r="G233" s="24">
        <f>VLOOKUP(B233,Tabla1[],2,0)</f>
        <v>39.200000000000003</v>
      </c>
      <c r="H233" s="24">
        <f>+G233/0.72</f>
        <v>54.44444444444445</v>
      </c>
      <c r="I233" s="24">
        <f>+H233*1.21</f>
        <v>65.87777777777778</v>
      </c>
      <c r="J233" s="24" t="s">
        <v>2326</v>
      </c>
      <c r="K233" s="24" t="s">
        <v>2366</v>
      </c>
      <c r="L233" t="s">
        <v>2018</v>
      </c>
      <c r="M233" t="s">
        <v>1424</v>
      </c>
      <c r="N233" t="s">
        <v>1427</v>
      </c>
      <c r="O233" t="s">
        <v>1427</v>
      </c>
      <c r="P233" t="s">
        <v>1431</v>
      </c>
      <c r="Q233">
        <v>36</v>
      </c>
      <c r="R233" s="2">
        <v>8457780312830</v>
      </c>
      <c r="S233" s="3" t="s">
        <v>851</v>
      </c>
      <c r="T233" t="s">
        <v>1383</v>
      </c>
      <c r="U233" t="s">
        <v>1384</v>
      </c>
    </row>
    <row r="234" spans="1:21" x14ac:dyDescent="0.25">
      <c r="A234" t="s">
        <v>182</v>
      </c>
      <c r="B234" t="s">
        <v>2232</v>
      </c>
      <c r="C234" t="s">
        <v>185</v>
      </c>
      <c r="D234" t="s">
        <v>2006</v>
      </c>
      <c r="E234" t="str">
        <f>+CONCATENATE(D234,". FABRICADO EN ",M234,". PUNTERA DE ",N234,". PLANTILLA ",O234,". SUELA DE ",P234)</f>
        <v>BOTA PIEL O6+CI+HI+HRO+FO+SR Marrón 37. FABRICADO EN PIEL NUBUCK . PUNTERA DE No lleva. PLANTILLA No lleva. SUELA DE EVA/CAUCHO-NITRILO</v>
      </c>
      <c r="F234" t="str">
        <f>PROPER(E234)</f>
        <v>Bota Piel O6+Ci+Hi+Hro+Fo+Sr Marrón 37. Fabricado En Piel Nubuck . Puntera De No Lleva. Plantilla No Lleva. Suela De Eva/Caucho-Nitrilo</v>
      </c>
      <c r="G234" s="24">
        <f>VLOOKUP(B234,Tabla1[],2,0)</f>
        <v>39.200000000000003</v>
      </c>
      <c r="H234" s="24">
        <f>+G234/0.72</f>
        <v>54.44444444444445</v>
      </c>
      <c r="I234" s="24">
        <f>+H234*1.21</f>
        <v>65.87777777777778</v>
      </c>
      <c r="J234" s="24" t="s">
        <v>2326</v>
      </c>
      <c r="K234" s="24" t="s">
        <v>2366</v>
      </c>
      <c r="L234" t="s">
        <v>2018</v>
      </c>
      <c r="M234" t="s">
        <v>1424</v>
      </c>
      <c r="N234" t="s">
        <v>1427</v>
      </c>
      <c r="O234" t="s">
        <v>1427</v>
      </c>
      <c r="P234" t="s">
        <v>1431</v>
      </c>
      <c r="Q234">
        <v>37</v>
      </c>
      <c r="R234" s="2">
        <v>8457780312847</v>
      </c>
      <c r="S234" s="3" t="s">
        <v>852</v>
      </c>
      <c r="T234" t="s">
        <v>1383</v>
      </c>
      <c r="U234" t="s">
        <v>1384</v>
      </c>
    </row>
    <row r="235" spans="1:21" x14ac:dyDescent="0.25">
      <c r="A235" t="s">
        <v>182</v>
      </c>
      <c r="B235" t="s">
        <v>2232</v>
      </c>
      <c r="C235" t="s">
        <v>186</v>
      </c>
      <c r="D235" t="s">
        <v>2008</v>
      </c>
      <c r="E235" t="str">
        <f>+CONCATENATE(D235,". FABRICADO EN ",M235,". PUNTERA DE ",N235,". PLANTILLA ",O235,". SUELA DE ",P235)</f>
        <v>BOTA PIEL O6+CI+HI+HRO+FO+SR Marrón 38. FABRICADO EN PIEL NUBUCK . PUNTERA DE No lleva. PLANTILLA No lleva. SUELA DE EVA/CAUCHO-NITRILO</v>
      </c>
      <c r="F235" t="str">
        <f>PROPER(E235)</f>
        <v>Bota Piel O6+Ci+Hi+Hro+Fo+Sr Marrón 38. Fabricado En Piel Nubuck . Puntera De No Lleva. Plantilla No Lleva. Suela De Eva/Caucho-Nitrilo</v>
      </c>
      <c r="G235" s="24">
        <f>VLOOKUP(B235,Tabla1[],2,0)</f>
        <v>39.200000000000003</v>
      </c>
      <c r="H235" s="24">
        <f>+G235/0.72</f>
        <v>54.44444444444445</v>
      </c>
      <c r="I235" s="24">
        <f>+H235*1.21</f>
        <v>65.87777777777778</v>
      </c>
      <c r="J235" s="24" t="s">
        <v>2326</v>
      </c>
      <c r="K235" s="24" t="s">
        <v>2366</v>
      </c>
      <c r="L235" t="s">
        <v>2018</v>
      </c>
      <c r="M235" t="s">
        <v>1424</v>
      </c>
      <c r="N235" t="s">
        <v>1427</v>
      </c>
      <c r="O235" t="s">
        <v>1427</v>
      </c>
      <c r="P235" t="s">
        <v>1431</v>
      </c>
      <c r="Q235">
        <v>38</v>
      </c>
      <c r="R235" s="2">
        <v>8457780312854</v>
      </c>
      <c r="S235" s="3" t="s">
        <v>853</v>
      </c>
      <c r="T235" t="s">
        <v>1383</v>
      </c>
      <c r="U235" t="s">
        <v>1384</v>
      </c>
    </row>
    <row r="236" spans="1:21" x14ac:dyDescent="0.25">
      <c r="A236" t="s">
        <v>182</v>
      </c>
      <c r="B236" t="s">
        <v>2232</v>
      </c>
      <c r="C236" t="s">
        <v>187</v>
      </c>
      <c r="D236" t="s">
        <v>2007</v>
      </c>
      <c r="E236" t="str">
        <f>+CONCATENATE(D236,". FABRICADO EN ",M236,". PUNTERA DE ",N236,". PLANTILLA ",O236,". SUELA DE ",P236)</f>
        <v>BOTA PIEL O6+CI+HI+HRO+FO+SR Marrón 39. FABRICADO EN PIEL NUBUCK . PUNTERA DE No lleva. PLANTILLA No lleva. SUELA DE EVA/CAUCHO-NITRILO</v>
      </c>
      <c r="F236" t="str">
        <f>PROPER(E236)</f>
        <v>Bota Piel O6+Ci+Hi+Hro+Fo+Sr Marrón 39. Fabricado En Piel Nubuck . Puntera De No Lleva. Plantilla No Lleva. Suela De Eva/Caucho-Nitrilo</v>
      </c>
      <c r="G236" s="24">
        <f>VLOOKUP(B236,Tabla1[],2,0)</f>
        <v>39.200000000000003</v>
      </c>
      <c r="H236" s="24">
        <f>+G236/0.72</f>
        <v>54.44444444444445</v>
      </c>
      <c r="I236" s="24">
        <f>+H236*1.21</f>
        <v>65.87777777777778</v>
      </c>
      <c r="J236" s="24" t="s">
        <v>2326</v>
      </c>
      <c r="K236" s="24" t="s">
        <v>2366</v>
      </c>
      <c r="L236" t="s">
        <v>2018</v>
      </c>
      <c r="M236" t="s">
        <v>1424</v>
      </c>
      <c r="N236" t="s">
        <v>1427</v>
      </c>
      <c r="O236" t="s">
        <v>1427</v>
      </c>
      <c r="P236" t="s">
        <v>1431</v>
      </c>
      <c r="Q236">
        <v>39</v>
      </c>
      <c r="R236" s="2">
        <v>8457780312861</v>
      </c>
      <c r="S236" s="3" t="s">
        <v>854</v>
      </c>
      <c r="T236" t="s">
        <v>1383</v>
      </c>
      <c r="U236" t="s">
        <v>1384</v>
      </c>
    </row>
    <row r="237" spans="1:21" x14ac:dyDescent="0.25">
      <c r="A237" t="s">
        <v>182</v>
      </c>
      <c r="B237" t="s">
        <v>2232</v>
      </c>
      <c r="C237" t="s">
        <v>188</v>
      </c>
      <c r="D237" t="s">
        <v>2009</v>
      </c>
      <c r="E237" t="str">
        <f>+CONCATENATE(D237,". FABRICADO EN ",M237,". PUNTERA DE ",N237,". PLANTILLA ",O237,". SUELA DE ",P237)</f>
        <v>BOTA PIEL O6+CI+HI+HRO+FO+SR Marrón 40. FABRICADO EN PIEL NUBUCK . PUNTERA DE No lleva. PLANTILLA No lleva. SUELA DE EVA/CAUCHO-NITRILO</v>
      </c>
      <c r="F237" t="str">
        <f>PROPER(E237)</f>
        <v>Bota Piel O6+Ci+Hi+Hro+Fo+Sr Marrón 40. Fabricado En Piel Nubuck . Puntera De No Lleva. Plantilla No Lleva. Suela De Eva/Caucho-Nitrilo</v>
      </c>
      <c r="G237" s="24">
        <f>VLOOKUP(B237,Tabla1[],2,0)</f>
        <v>39.200000000000003</v>
      </c>
      <c r="H237" s="24">
        <f>+G237/0.72</f>
        <v>54.44444444444445</v>
      </c>
      <c r="I237" s="24">
        <f>+H237*1.21</f>
        <v>65.87777777777778</v>
      </c>
      <c r="J237" s="24" t="s">
        <v>2326</v>
      </c>
      <c r="K237" s="24" t="s">
        <v>2366</v>
      </c>
      <c r="L237" t="s">
        <v>2018</v>
      </c>
      <c r="M237" t="s">
        <v>1424</v>
      </c>
      <c r="N237" t="s">
        <v>1427</v>
      </c>
      <c r="O237" t="s">
        <v>1427</v>
      </c>
      <c r="P237" t="s">
        <v>1431</v>
      </c>
      <c r="Q237">
        <v>40</v>
      </c>
      <c r="R237" s="2">
        <v>8457780312878</v>
      </c>
      <c r="S237" s="3" t="s">
        <v>855</v>
      </c>
      <c r="T237" t="s">
        <v>1383</v>
      </c>
      <c r="U237" t="s">
        <v>1384</v>
      </c>
    </row>
    <row r="238" spans="1:21" x14ac:dyDescent="0.25">
      <c r="A238" t="s">
        <v>182</v>
      </c>
      <c r="B238" t="s">
        <v>2232</v>
      </c>
      <c r="C238" t="s">
        <v>189</v>
      </c>
      <c r="D238" t="s">
        <v>2010</v>
      </c>
      <c r="E238" t="str">
        <f>+CONCATENATE(D238,". FABRICADO EN ",M238,". PUNTERA DE ",N238,". PLANTILLA ",O238,". SUELA DE ",P238)</f>
        <v>BOTA PIEL O6+CI+HI+HRO+FO+SR Marrón 41. FABRICADO EN PIEL NUBUCK . PUNTERA DE No lleva. PLANTILLA No lleva. SUELA DE EVA/CAUCHO-NITRILO</v>
      </c>
      <c r="F238" t="str">
        <f>PROPER(E238)</f>
        <v>Bota Piel O6+Ci+Hi+Hro+Fo+Sr Marrón 41. Fabricado En Piel Nubuck . Puntera De No Lleva. Plantilla No Lleva. Suela De Eva/Caucho-Nitrilo</v>
      </c>
      <c r="G238" s="24">
        <f>VLOOKUP(B238,Tabla1[],2,0)</f>
        <v>39.200000000000003</v>
      </c>
      <c r="H238" s="24">
        <f>+G238/0.72</f>
        <v>54.44444444444445</v>
      </c>
      <c r="I238" s="24">
        <f>+H238*1.21</f>
        <v>65.87777777777778</v>
      </c>
      <c r="J238" s="24" t="s">
        <v>2326</v>
      </c>
      <c r="K238" s="24" t="s">
        <v>2366</v>
      </c>
      <c r="L238" t="s">
        <v>2018</v>
      </c>
      <c r="M238" t="s">
        <v>1424</v>
      </c>
      <c r="N238" t="s">
        <v>1427</v>
      </c>
      <c r="O238" t="s">
        <v>1427</v>
      </c>
      <c r="P238" t="s">
        <v>1431</v>
      </c>
      <c r="Q238">
        <v>41</v>
      </c>
      <c r="R238" s="2">
        <v>8457780312885</v>
      </c>
      <c r="S238" s="3" t="s">
        <v>856</v>
      </c>
      <c r="T238" t="s">
        <v>1383</v>
      </c>
      <c r="U238" t="s">
        <v>1384</v>
      </c>
    </row>
    <row r="239" spans="1:21" x14ac:dyDescent="0.25">
      <c r="A239" t="s">
        <v>182</v>
      </c>
      <c r="B239" t="s">
        <v>2232</v>
      </c>
      <c r="C239" t="s">
        <v>190</v>
      </c>
      <c r="D239" t="s">
        <v>2011</v>
      </c>
      <c r="E239" t="str">
        <f>+CONCATENATE(D239,". FABRICADO EN ",M239,". PUNTERA DE ",N239,". PLANTILLA ",O239,". SUELA DE ",P239)</f>
        <v>BOTA PIEL O6+CI+HI+HRO+FO+SR Marrón 42. FABRICADO EN PIEL NUBUCK . PUNTERA DE No lleva. PLANTILLA No lleva. SUELA DE EVA/CAUCHO-NITRILO</v>
      </c>
      <c r="F239" t="str">
        <f>PROPER(E239)</f>
        <v>Bota Piel O6+Ci+Hi+Hro+Fo+Sr Marrón 42. Fabricado En Piel Nubuck . Puntera De No Lleva. Plantilla No Lleva. Suela De Eva/Caucho-Nitrilo</v>
      </c>
      <c r="G239" s="24">
        <f>VLOOKUP(B239,Tabla1[],2,0)</f>
        <v>39.200000000000003</v>
      </c>
      <c r="H239" s="24">
        <f>+G239/0.72</f>
        <v>54.44444444444445</v>
      </c>
      <c r="I239" s="24">
        <f>+H239*1.21</f>
        <v>65.87777777777778</v>
      </c>
      <c r="J239" s="24" t="s">
        <v>2326</v>
      </c>
      <c r="K239" s="24" t="s">
        <v>2366</v>
      </c>
      <c r="L239" t="s">
        <v>2018</v>
      </c>
      <c r="M239" t="s">
        <v>1424</v>
      </c>
      <c r="N239" t="s">
        <v>1427</v>
      </c>
      <c r="O239" t="s">
        <v>1427</v>
      </c>
      <c r="P239" t="s">
        <v>1431</v>
      </c>
      <c r="Q239">
        <v>42</v>
      </c>
      <c r="R239" s="2">
        <v>8457780312892</v>
      </c>
      <c r="S239" s="3" t="s">
        <v>857</v>
      </c>
      <c r="T239" t="s">
        <v>1383</v>
      </c>
      <c r="U239" t="s">
        <v>1384</v>
      </c>
    </row>
    <row r="240" spans="1:21" x14ac:dyDescent="0.25">
      <c r="A240" t="s">
        <v>182</v>
      </c>
      <c r="B240" t="s">
        <v>2232</v>
      </c>
      <c r="C240" t="s">
        <v>191</v>
      </c>
      <c r="D240" t="s">
        <v>2012</v>
      </c>
      <c r="E240" t="str">
        <f>+CONCATENATE(D240,". FABRICADO EN ",M240,". PUNTERA DE ",N240,". PLANTILLA ",O240,". SUELA DE ",P240)</f>
        <v>BOTA PIEL O6+CI+HI+HRO+FO+SR Marrón 43. FABRICADO EN PIEL NUBUCK . PUNTERA DE No lleva. PLANTILLA No lleva. SUELA DE EVA/CAUCHO-NITRILO</v>
      </c>
      <c r="F240" t="str">
        <f>PROPER(E240)</f>
        <v>Bota Piel O6+Ci+Hi+Hro+Fo+Sr Marrón 43. Fabricado En Piel Nubuck . Puntera De No Lleva. Plantilla No Lleva. Suela De Eva/Caucho-Nitrilo</v>
      </c>
      <c r="G240" s="24">
        <f>VLOOKUP(B240,Tabla1[],2,0)</f>
        <v>39.200000000000003</v>
      </c>
      <c r="H240" s="24">
        <f>+G240/0.72</f>
        <v>54.44444444444445</v>
      </c>
      <c r="I240" s="24">
        <f>+H240*1.21</f>
        <v>65.87777777777778</v>
      </c>
      <c r="J240" s="24" t="s">
        <v>2326</v>
      </c>
      <c r="K240" s="24" t="s">
        <v>2366</v>
      </c>
      <c r="L240" t="s">
        <v>2018</v>
      </c>
      <c r="M240" t="s">
        <v>1424</v>
      </c>
      <c r="N240" t="s">
        <v>1427</v>
      </c>
      <c r="O240" t="s">
        <v>1427</v>
      </c>
      <c r="P240" t="s">
        <v>1431</v>
      </c>
      <c r="Q240">
        <v>43</v>
      </c>
      <c r="R240" s="2">
        <v>8457780312908</v>
      </c>
      <c r="S240" s="3" t="s">
        <v>858</v>
      </c>
      <c r="T240" t="s">
        <v>1383</v>
      </c>
      <c r="U240" t="s">
        <v>1384</v>
      </c>
    </row>
    <row r="241" spans="1:21" x14ac:dyDescent="0.25">
      <c r="A241" t="s">
        <v>182</v>
      </c>
      <c r="B241" t="s">
        <v>2232</v>
      </c>
      <c r="C241" t="s">
        <v>192</v>
      </c>
      <c r="D241" t="s">
        <v>2013</v>
      </c>
      <c r="E241" t="str">
        <f>+CONCATENATE(D241,". FABRICADO EN ",M241,". PUNTERA DE ",N241,". PLANTILLA ",O241,". SUELA DE ",P241)</f>
        <v>BOTA PIEL O6+CI+HI+HRO+FO+SR Marrón 44. FABRICADO EN PIEL NUBUCK . PUNTERA DE No lleva. PLANTILLA No lleva. SUELA DE EVA/CAUCHO-NITRILO</v>
      </c>
      <c r="F241" t="str">
        <f>PROPER(E241)</f>
        <v>Bota Piel O6+Ci+Hi+Hro+Fo+Sr Marrón 44. Fabricado En Piel Nubuck . Puntera De No Lleva. Plantilla No Lleva. Suela De Eva/Caucho-Nitrilo</v>
      </c>
      <c r="G241" s="24">
        <f>VLOOKUP(B241,Tabla1[],2,0)</f>
        <v>39.200000000000003</v>
      </c>
      <c r="H241" s="24">
        <f>+G241/0.72</f>
        <v>54.44444444444445</v>
      </c>
      <c r="I241" s="24">
        <f>+H241*1.21</f>
        <v>65.87777777777778</v>
      </c>
      <c r="J241" s="24" t="s">
        <v>2326</v>
      </c>
      <c r="K241" s="24" t="s">
        <v>2366</v>
      </c>
      <c r="L241" t="s">
        <v>2018</v>
      </c>
      <c r="M241" t="s">
        <v>1424</v>
      </c>
      <c r="N241" t="s">
        <v>1427</v>
      </c>
      <c r="O241" t="s">
        <v>1427</v>
      </c>
      <c r="P241" t="s">
        <v>1431</v>
      </c>
      <c r="Q241">
        <v>44</v>
      </c>
      <c r="R241" s="2">
        <v>8457780312915</v>
      </c>
      <c r="S241" s="3" t="s">
        <v>859</v>
      </c>
      <c r="T241" t="s">
        <v>1383</v>
      </c>
      <c r="U241" t="s">
        <v>1384</v>
      </c>
    </row>
    <row r="242" spans="1:21" x14ac:dyDescent="0.25">
      <c r="A242" t="s">
        <v>182</v>
      </c>
      <c r="B242" t="s">
        <v>2232</v>
      </c>
      <c r="C242" t="s">
        <v>193</v>
      </c>
      <c r="D242" t="s">
        <v>2014</v>
      </c>
      <c r="E242" t="str">
        <f>+CONCATENATE(D242,". FABRICADO EN ",M242,". PUNTERA DE ",N242,". PLANTILLA ",O242,". SUELA DE ",P242)</f>
        <v>BOTA PIEL O6+CI+HI+HRO+FO+SR Marrón 45. FABRICADO EN PIEL NUBUCK . PUNTERA DE No lleva. PLANTILLA No lleva. SUELA DE EVA/CAUCHO-NITRILO</v>
      </c>
      <c r="F242" t="str">
        <f>PROPER(E242)</f>
        <v>Bota Piel O6+Ci+Hi+Hro+Fo+Sr Marrón 45. Fabricado En Piel Nubuck . Puntera De No Lleva. Plantilla No Lleva. Suela De Eva/Caucho-Nitrilo</v>
      </c>
      <c r="G242" s="24">
        <f>VLOOKUP(B242,Tabla1[],2,0)</f>
        <v>39.200000000000003</v>
      </c>
      <c r="H242" s="24">
        <f>+G242/0.72</f>
        <v>54.44444444444445</v>
      </c>
      <c r="I242" s="24">
        <f>+H242*1.21</f>
        <v>65.87777777777778</v>
      </c>
      <c r="J242" s="24" t="s">
        <v>2326</v>
      </c>
      <c r="K242" s="24" t="s">
        <v>2366</v>
      </c>
      <c r="L242" t="s">
        <v>2018</v>
      </c>
      <c r="M242" t="s">
        <v>1424</v>
      </c>
      <c r="N242" t="s">
        <v>1427</v>
      </c>
      <c r="O242" t="s">
        <v>1427</v>
      </c>
      <c r="P242" t="s">
        <v>1431</v>
      </c>
      <c r="Q242">
        <v>45</v>
      </c>
      <c r="R242" s="2">
        <v>8457780312922</v>
      </c>
      <c r="S242" s="3" t="s">
        <v>860</v>
      </c>
      <c r="T242" t="s">
        <v>1383</v>
      </c>
      <c r="U242" t="s">
        <v>1384</v>
      </c>
    </row>
    <row r="243" spans="1:21" x14ac:dyDescent="0.25">
      <c r="A243" t="s">
        <v>182</v>
      </c>
      <c r="B243" t="s">
        <v>2232</v>
      </c>
      <c r="C243" t="s">
        <v>194</v>
      </c>
      <c r="D243" t="s">
        <v>2015</v>
      </c>
      <c r="E243" t="str">
        <f>+CONCATENATE(D243,". FABRICADO EN ",M243,". PUNTERA DE ",N243,". PLANTILLA ",O243,". SUELA DE ",P243)</f>
        <v>BOTA PIEL O6+CI+HI+HRO+FO+SR Marrón 46. FABRICADO EN PIEL NUBUCK . PUNTERA DE No lleva. PLANTILLA No lleva. SUELA DE EVA/CAUCHO-NITRILO</v>
      </c>
      <c r="F243" t="str">
        <f>PROPER(E243)</f>
        <v>Bota Piel O6+Ci+Hi+Hro+Fo+Sr Marrón 46. Fabricado En Piel Nubuck . Puntera De No Lleva. Plantilla No Lleva. Suela De Eva/Caucho-Nitrilo</v>
      </c>
      <c r="G243" s="24">
        <f>VLOOKUP(B243,Tabla1[],2,0)</f>
        <v>39.200000000000003</v>
      </c>
      <c r="H243" s="24">
        <f>+G243/0.72</f>
        <v>54.44444444444445</v>
      </c>
      <c r="I243" s="24">
        <f>+H243*1.21</f>
        <v>65.87777777777778</v>
      </c>
      <c r="J243" s="24" t="s">
        <v>2326</v>
      </c>
      <c r="K243" s="24" t="s">
        <v>2366</v>
      </c>
      <c r="L243" t="s">
        <v>2018</v>
      </c>
      <c r="M243" t="s">
        <v>1424</v>
      </c>
      <c r="N243" t="s">
        <v>1427</v>
      </c>
      <c r="O243" t="s">
        <v>1427</v>
      </c>
      <c r="P243" t="s">
        <v>1431</v>
      </c>
      <c r="Q243">
        <v>46</v>
      </c>
      <c r="R243" s="2">
        <v>8457780312939</v>
      </c>
      <c r="S243" s="3" t="s">
        <v>861</v>
      </c>
      <c r="T243" t="s">
        <v>1383</v>
      </c>
      <c r="U243" t="s">
        <v>1384</v>
      </c>
    </row>
    <row r="244" spans="1:21" x14ac:dyDescent="0.25">
      <c r="A244" t="s">
        <v>182</v>
      </c>
      <c r="B244" t="s">
        <v>2232</v>
      </c>
      <c r="C244" t="s">
        <v>195</v>
      </c>
      <c r="D244" t="s">
        <v>2016</v>
      </c>
      <c r="E244" t="str">
        <f>+CONCATENATE(D244,". FABRICADO EN ",M244,". PUNTERA DE ",N244,". PLANTILLA ",O244,". SUELA DE ",P244)</f>
        <v>BOTA PIEL O6+CI+HI+HRO+FO+SR Marrón 47. FABRICADO EN PIEL NUBUCK . PUNTERA DE No lleva. PLANTILLA No lleva. SUELA DE EVA/CAUCHO-NITRILO</v>
      </c>
      <c r="F244" t="str">
        <f>PROPER(E244)</f>
        <v>Bota Piel O6+Ci+Hi+Hro+Fo+Sr Marrón 47. Fabricado En Piel Nubuck . Puntera De No Lleva. Plantilla No Lleva. Suela De Eva/Caucho-Nitrilo</v>
      </c>
      <c r="G244" s="24">
        <f>VLOOKUP(B244,Tabla1[],2,0)</f>
        <v>39.200000000000003</v>
      </c>
      <c r="H244" s="24">
        <f>+G244/0.72</f>
        <v>54.44444444444445</v>
      </c>
      <c r="I244" s="24">
        <f>+H244*1.21</f>
        <v>65.87777777777778</v>
      </c>
      <c r="J244" s="24" t="s">
        <v>2326</v>
      </c>
      <c r="K244" s="24" t="s">
        <v>2366</v>
      </c>
      <c r="L244" t="s">
        <v>2018</v>
      </c>
      <c r="M244" t="s">
        <v>1424</v>
      </c>
      <c r="N244" t="s">
        <v>1427</v>
      </c>
      <c r="O244" t="s">
        <v>1427</v>
      </c>
      <c r="P244" t="s">
        <v>1431</v>
      </c>
      <c r="Q244">
        <v>47</v>
      </c>
      <c r="R244" s="2">
        <v>8457780312946</v>
      </c>
      <c r="S244" s="3" t="s">
        <v>862</v>
      </c>
      <c r="T244" t="s">
        <v>1383</v>
      </c>
      <c r="U244" t="s">
        <v>1384</v>
      </c>
    </row>
    <row r="245" spans="1:21" x14ac:dyDescent="0.25">
      <c r="A245" t="s">
        <v>182</v>
      </c>
      <c r="B245" t="s">
        <v>2232</v>
      </c>
      <c r="C245" t="s">
        <v>196</v>
      </c>
      <c r="D245" t="s">
        <v>2017</v>
      </c>
      <c r="E245" t="str">
        <f>+CONCATENATE(D245,". FABRICADO EN ",M245,". PUNTERA DE ",N245,". PLANTILLA ",O245,". SUELA DE ",P245)</f>
        <v>BOTA PIEL O6+CI+HI+HRO+FO+SR Marrón 48. FABRICADO EN PIEL NUBUCK . PUNTERA DE No lleva. PLANTILLA No lleva. SUELA DE EVA/CAUCHO-NITRILO</v>
      </c>
      <c r="F245" t="str">
        <f>PROPER(E245)</f>
        <v>Bota Piel O6+Ci+Hi+Hro+Fo+Sr Marrón 48. Fabricado En Piel Nubuck . Puntera De No Lleva. Plantilla No Lleva. Suela De Eva/Caucho-Nitrilo</v>
      </c>
      <c r="G245" s="24">
        <f>VLOOKUP(B245,Tabla1[],2,0)</f>
        <v>39.200000000000003</v>
      </c>
      <c r="H245" s="24">
        <f>+G245/0.72</f>
        <v>54.44444444444445</v>
      </c>
      <c r="I245" s="24">
        <f>+H245*1.21</f>
        <v>65.87777777777778</v>
      </c>
      <c r="J245" s="24" t="s">
        <v>2326</v>
      </c>
      <c r="K245" s="24" t="s">
        <v>2366</v>
      </c>
      <c r="L245" t="s">
        <v>2018</v>
      </c>
      <c r="M245" t="s">
        <v>1424</v>
      </c>
      <c r="N245" t="s">
        <v>1427</v>
      </c>
      <c r="O245" t="s">
        <v>1427</v>
      </c>
      <c r="P245" t="s">
        <v>1431</v>
      </c>
      <c r="Q245">
        <v>48</v>
      </c>
      <c r="R245" s="2">
        <v>8457780312953</v>
      </c>
      <c r="S245" s="3" t="s">
        <v>863</v>
      </c>
      <c r="T245" t="s">
        <v>1383</v>
      </c>
      <c r="U245" t="s">
        <v>1384</v>
      </c>
    </row>
    <row r="246" spans="1:21" x14ac:dyDescent="0.25">
      <c r="A246" t="s">
        <v>197</v>
      </c>
      <c r="B246" t="s">
        <v>2233</v>
      </c>
      <c r="C246" t="s">
        <v>198</v>
      </c>
      <c r="D246" t="s">
        <v>1598</v>
      </c>
      <c r="E246" t="str">
        <f>+CONCATENATE(D246,". FABRICADO EN ",M246,". PUNTERA DE ",N246,". PLANTILLA ",O246,". SUELA DE ",P246)</f>
        <v>ZAPATO 01-FO-SR Blanco 35. FABRICADO EN TEXTIL TRANSPIRABLE CON REFUERZO EN PUNTERA. PUNTERA DE No lleva. PLANTILLA No lleva. SUELA DE EVA/CAUCHO-NITRILO</v>
      </c>
      <c r="F246" t="str">
        <f>PROPER(E246)</f>
        <v>Zapato 01-Fo-Sr Blanco 35. Fabricado En Textil Transpirable Con Refuerzo En Puntera. Puntera De No Lleva. Plantilla No Lleva. Suela De Eva/Caucho-Nitrilo</v>
      </c>
      <c r="G246" s="24">
        <f>VLOOKUP(B246,Tabla1[],2,0)</f>
        <v>26.5</v>
      </c>
      <c r="H246" s="24">
        <f>+G246/0.72</f>
        <v>36.805555555555557</v>
      </c>
      <c r="I246" s="24">
        <f>+H246*1.21</f>
        <v>44.534722222222221</v>
      </c>
      <c r="J246" s="24" t="s">
        <v>2361</v>
      </c>
      <c r="K246" s="24" t="s">
        <v>2372</v>
      </c>
      <c r="L246" t="s">
        <v>1400</v>
      </c>
      <c r="M246" t="s">
        <v>1410</v>
      </c>
      <c r="N246" t="s">
        <v>1427</v>
      </c>
      <c r="O246" t="s">
        <v>1427</v>
      </c>
      <c r="P246" t="s">
        <v>1431</v>
      </c>
      <c r="Q246">
        <v>35</v>
      </c>
      <c r="R246" s="2">
        <v>8457780337260</v>
      </c>
      <c r="S246" s="3" t="s">
        <v>864</v>
      </c>
      <c r="T246" s="1" t="s">
        <v>1377</v>
      </c>
    </row>
    <row r="247" spans="1:21" x14ac:dyDescent="0.25">
      <c r="A247" t="s">
        <v>197</v>
      </c>
      <c r="B247" t="s">
        <v>2233</v>
      </c>
      <c r="C247" t="s">
        <v>199</v>
      </c>
      <c r="D247" t="s">
        <v>1599</v>
      </c>
      <c r="E247" t="str">
        <f>+CONCATENATE(D247,". FABRICADO EN ",M247,". PUNTERA DE ",N247,". PLANTILLA ",O247,". SUELA DE ",P247)</f>
        <v>ZAPATO 01-FO-SR Blanco 36. FABRICADO EN TEXTIL TRANSPIRABLE CON REFUERZO EN PUNTERA. PUNTERA DE No lleva. PLANTILLA No lleva. SUELA DE EVA/CAUCHO-NITRILO</v>
      </c>
      <c r="F247" t="str">
        <f>PROPER(E247)</f>
        <v>Zapato 01-Fo-Sr Blanco 36. Fabricado En Textil Transpirable Con Refuerzo En Puntera. Puntera De No Lleva. Plantilla No Lleva. Suela De Eva/Caucho-Nitrilo</v>
      </c>
      <c r="G247" s="24">
        <f>VLOOKUP(B247,Tabla1[],2,0)</f>
        <v>26.5</v>
      </c>
      <c r="H247" s="24">
        <f>+G247/0.72</f>
        <v>36.805555555555557</v>
      </c>
      <c r="I247" s="24">
        <f>+H247*1.21</f>
        <v>44.534722222222221</v>
      </c>
      <c r="J247" s="24" t="s">
        <v>2361</v>
      </c>
      <c r="K247" s="24" t="s">
        <v>2372</v>
      </c>
      <c r="L247" t="s">
        <v>1400</v>
      </c>
      <c r="M247" t="s">
        <v>1410</v>
      </c>
      <c r="N247" t="s">
        <v>1427</v>
      </c>
      <c r="O247" t="s">
        <v>1427</v>
      </c>
      <c r="P247" t="s">
        <v>1431</v>
      </c>
      <c r="Q247">
        <v>36</v>
      </c>
      <c r="R247" s="2">
        <v>8457780337277</v>
      </c>
      <c r="S247" s="3" t="s">
        <v>865</v>
      </c>
      <c r="T247" s="1" t="s">
        <v>1377</v>
      </c>
    </row>
    <row r="248" spans="1:21" x14ac:dyDescent="0.25">
      <c r="A248" t="s">
        <v>197</v>
      </c>
      <c r="B248" t="s">
        <v>2233</v>
      </c>
      <c r="C248" t="s">
        <v>200</v>
      </c>
      <c r="D248" t="s">
        <v>1600</v>
      </c>
      <c r="E248" t="str">
        <f>+CONCATENATE(D248,". FABRICADO EN ",M248,". PUNTERA DE ",N248,". PLANTILLA ",O248,". SUELA DE ",P248)</f>
        <v>ZAPATO 01-FO-SR Blanco 37. FABRICADO EN TEXTIL TRANSPIRABLE CON REFUERZO EN PUNTERA. PUNTERA DE No lleva. PLANTILLA No lleva. SUELA DE EVA/CAUCHO-NITRILO</v>
      </c>
      <c r="F248" t="str">
        <f>PROPER(E248)</f>
        <v>Zapato 01-Fo-Sr Blanco 37. Fabricado En Textil Transpirable Con Refuerzo En Puntera. Puntera De No Lleva. Plantilla No Lleva. Suela De Eva/Caucho-Nitrilo</v>
      </c>
      <c r="G248" s="24">
        <f>VLOOKUP(B248,Tabla1[],2,0)</f>
        <v>26.5</v>
      </c>
      <c r="H248" s="24">
        <f>+G248/0.72</f>
        <v>36.805555555555557</v>
      </c>
      <c r="I248" s="24">
        <f>+H248*1.21</f>
        <v>44.534722222222221</v>
      </c>
      <c r="J248" s="24" t="s">
        <v>2361</v>
      </c>
      <c r="K248" s="24" t="s">
        <v>2372</v>
      </c>
      <c r="L248" t="s">
        <v>1400</v>
      </c>
      <c r="M248" t="s">
        <v>1410</v>
      </c>
      <c r="N248" t="s">
        <v>1427</v>
      </c>
      <c r="O248" t="s">
        <v>1427</v>
      </c>
      <c r="P248" t="s">
        <v>1431</v>
      </c>
      <c r="Q248">
        <v>37</v>
      </c>
      <c r="R248" s="2">
        <v>8457780337284</v>
      </c>
      <c r="S248" s="3" t="s">
        <v>866</v>
      </c>
      <c r="T248" s="1" t="s">
        <v>1377</v>
      </c>
    </row>
    <row r="249" spans="1:21" x14ac:dyDescent="0.25">
      <c r="A249" t="s">
        <v>197</v>
      </c>
      <c r="B249" t="s">
        <v>2233</v>
      </c>
      <c r="C249" t="s">
        <v>201</v>
      </c>
      <c r="D249" t="s">
        <v>1601</v>
      </c>
      <c r="E249" t="str">
        <f>+CONCATENATE(D249,". FABRICADO EN ",M249,". PUNTERA DE ",N249,". PLANTILLA ",O249,". SUELA DE ",P249)</f>
        <v>ZAPATO 01-FO-SR Blanco 38. FABRICADO EN TEXTIL TRANSPIRABLE CON REFUERZO EN PUNTERA. PUNTERA DE No lleva. PLANTILLA No lleva. SUELA DE EVA/CAUCHO-NITRILO</v>
      </c>
      <c r="F249" t="str">
        <f>PROPER(E249)</f>
        <v>Zapato 01-Fo-Sr Blanco 38. Fabricado En Textil Transpirable Con Refuerzo En Puntera. Puntera De No Lleva. Plantilla No Lleva. Suela De Eva/Caucho-Nitrilo</v>
      </c>
      <c r="G249" s="24">
        <f>VLOOKUP(B249,Tabla1[],2,0)</f>
        <v>26.5</v>
      </c>
      <c r="H249" s="24">
        <f>+G249/0.72</f>
        <v>36.805555555555557</v>
      </c>
      <c r="I249" s="24">
        <f>+H249*1.21</f>
        <v>44.534722222222221</v>
      </c>
      <c r="J249" s="24" t="s">
        <v>2361</v>
      </c>
      <c r="K249" s="24" t="s">
        <v>2372</v>
      </c>
      <c r="L249" t="s">
        <v>1400</v>
      </c>
      <c r="M249" t="s">
        <v>1410</v>
      </c>
      <c r="N249" t="s">
        <v>1427</v>
      </c>
      <c r="O249" t="s">
        <v>1427</v>
      </c>
      <c r="P249" t="s">
        <v>1431</v>
      </c>
      <c r="Q249">
        <v>38</v>
      </c>
      <c r="R249" s="2">
        <v>8457780337291</v>
      </c>
      <c r="S249" s="3" t="s">
        <v>867</v>
      </c>
      <c r="T249" s="1" t="s">
        <v>1377</v>
      </c>
    </row>
    <row r="250" spans="1:21" x14ac:dyDescent="0.25">
      <c r="A250" t="s">
        <v>197</v>
      </c>
      <c r="B250" t="s">
        <v>2233</v>
      </c>
      <c r="C250" t="s">
        <v>202</v>
      </c>
      <c r="D250" t="s">
        <v>1602</v>
      </c>
      <c r="E250" t="str">
        <f>+CONCATENATE(D250,". FABRICADO EN ",M250,". PUNTERA DE ",N250,". PLANTILLA ",O250,". SUELA DE ",P250)</f>
        <v>ZAPATO 01-FO-SR Blanco 39. FABRICADO EN TEXTIL TRANSPIRABLE CON REFUERZO EN PUNTERA. PUNTERA DE No lleva. PLANTILLA No lleva. SUELA DE EVA/CAUCHO-NITRILO</v>
      </c>
      <c r="F250" t="str">
        <f>PROPER(E250)</f>
        <v>Zapato 01-Fo-Sr Blanco 39. Fabricado En Textil Transpirable Con Refuerzo En Puntera. Puntera De No Lleva. Plantilla No Lleva. Suela De Eva/Caucho-Nitrilo</v>
      </c>
      <c r="G250" s="24">
        <f>VLOOKUP(B250,Tabla1[],2,0)</f>
        <v>26.5</v>
      </c>
      <c r="H250" s="24">
        <f>+G250/0.72</f>
        <v>36.805555555555557</v>
      </c>
      <c r="I250" s="24">
        <f>+H250*1.21</f>
        <v>44.534722222222221</v>
      </c>
      <c r="J250" s="24" t="s">
        <v>2361</v>
      </c>
      <c r="K250" s="24" t="s">
        <v>2372</v>
      </c>
      <c r="L250" t="s">
        <v>1400</v>
      </c>
      <c r="M250" t="s">
        <v>1410</v>
      </c>
      <c r="N250" t="s">
        <v>1427</v>
      </c>
      <c r="O250" t="s">
        <v>1427</v>
      </c>
      <c r="P250" t="s">
        <v>1431</v>
      </c>
      <c r="Q250">
        <v>39</v>
      </c>
      <c r="R250" s="2">
        <v>8457780337307</v>
      </c>
      <c r="S250" s="3" t="s">
        <v>868</v>
      </c>
      <c r="T250" s="1" t="s">
        <v>1377</v>
      </c>
    </row>
    <row r="251" spans="1:21" x14ac:dyDescent="0.25">
      <c r="A251" t="s">
        <v>197</v>
      </c>
      <c r="B251" t="s">
        <v>2233</v>
      </c>
      <c r="C251" t="s">
        <v>203</v>
      </c>
      <c r="D251" t="s">
        <v>1603</v>
      </c>
      <c r="E251" t="str">
        <f>+CONCATENATE(D251,". FABRICADO EN ",M251,". PUNTERA DE ",N251,". PLANTILLA ",O251,". SUELA DE ",P251)</f>
        <v>ZAPATO 01-FO-SR Blanco 40. FABRICADO EN TEXTIL TRANSPIRABLE CON REFUERZO EN PUNTERA. PUNTERA DE No lleva. PLANTILLA No lleva. SUELA DE EVA/CAUCHO-NITRILO</v>
      </c>
      <c r="F251" t="str">
        <f>PROPER(E251)</f>
        <v>Zapato 01-Fo-Sr Blanco 40. Fabricado En Textil Transpirable Con Refuerzo En Puntera. Puntera De No Lleva. Plantilla No Lleva. Suela De Eva/Caucho-Nitrilo</v>
      </c>
      <c r="G251" s="24">
        <f>VLOOKUP(B251,Tabla1[],2,0)</f>
        <v>26.5</v>
      </c>
      <c r="H251" s="24">
        <f>+G251/0.72</f>
        <v>36.805555555555557</v>
      </c>
      <c r="I251" s="24">
        <f>+H251*1.21</f>
        <v>44.534722222222221</v>
      </c>
      <c r="J251" s="24" t="s">
        <v>2361</v>
      </c>
      <c r="K251" s="24" t="s">
        <v>2372</v>
      </c>
      <c r="L251" t="s">
        <v>1400</v>
      </c>
      <c r="M251" t="s">
        <v>1410</v>
      </c>
      <c r="N251" t="s">
        <v>1427</v>
      </c>
      <c r="O251" t="s">
        <v>1427</v>
      </c>
      <c r="P251" t="s">
        <v>1431</v>
      </c>
      <c r="Q251">
        <v>40</v>
      </c>
      <c r="R251" s="2">
        <v>8457780337314</v>
      </c>
      <c r="S251" s="3" t="s">
        <v>869</v>
      </c>
      <c r="T251" s="1" t="s">
        <v>1377</v>
      </c>
    </row>
    <row r="252" spans="1:21" x14ac:dyDescent="0.25">
      <c r="A252" t="s">
        <v>197</v>
      </c>
      <c r="B252" t="s">
        <v>2233</v>
      </c>
      <c r="C252" t="s">
        <v>204</v>
      </c>
      <c r="D252" t="s">
        <v>1604</v>
      </c>
      <c r="E252" t="str">
        <f>+CONCATENATE(D252,". FABRICADO EN ",M252,". PUNTERA DE ",N252,". PLANTILLA ",O252,". SUELA DE ",P252)</f>
        <v>ZAPATO 01-FO-SR Blanco 41. FABRICADO EN TEXTIL TRANSPIRABLE CON REFUERZO EN PUNTERA. PUNTERA DE No lleva. PLANTILLA No lleva. SUELA DE EVA/CAUCHO-NITRILO</v>
      </c>
      <c r="F252" t="str">
        <f>PROPER(E252)</f>
        <v>Zapato 01-Fo-Sr Blanco 41. Fabricado En Textil Transpirable Con Refuerzo En Puntera. Puntera De No Lleva. Plantilla No Lleva. Suela De Eva/Caucho-Nitrilo</v>
      </c>
      <c r="G252" s="24">
        <f>VLOOKUP(B252,Tabla1[],2,0)</f>
        <v>26.5</v>
      </c>
      <c r="H252" s="24">
        <f>+G252/0.72</f>
        <v>36.805555555555557</v>
      </c>
      <c r="I252" s="24">
        <f>+H252*1.21</f>
        <v>44.534722222222221</v>
      </c>
      <c r="J252" s="24" t="s">
        <v>2361</v>
      </c>
      <c r="K252" s="24" t="s">
        <v>2372</v>
      </c>
      <c r="L252" t="s">
        <v>1400</v>
      </c>
      <c r="M252" t="s">
        <v>1410</v>
      </c>
      <c r="N252" t="s">
        <v>1427</v>
      </c>
      <c r="O252" t="s">
        <v>1427</v>
      </c>
      <c r="P252" t="s">
        <v>1431</v>
      </c>
      <c r="Q252">
        <v>41</v>
      </c>
      <c r="R252" s="2">
        <v>8457780337321</v>
      </c>
      <c r="S252" s="3" t="s">
        <v>870</v>
      </c>
      <c r="T252" s="1" t="s">
        <v>1377</v>
      </c>
    </row>
    <row r="253" spans="1:21" x14ac:dyDescent="0.25">
      <c r="A253" t="s">
        <v>197</v>
      </c>
      <c r="B253" t="s">
        <v>2233</v>
      </c>
      <c r="C253" t="s">
        <v>205</v>
      </c>
      <c r="D253" t="s">
        <v>1605</v>
      </c>
      <c r="E253" t="str">
        <f>+CONCATENATE(D253,". FABRICADO EN ",M253,". PUNTERA DE ",N253,". PLANTILLA ",O253,". SUELA DE ",P253)</f>
        <v>ZAPATO 01-FO-SR Blanco 42. FABRICADO EN TEXTIL TRANSPIRABLE CON REFUERZO EN PUNTERA. PUNTERA DE No lleva. PLANTILLA No lleva. SUELA DE EVA/CAUCHO-NITRILO</v>
      </c>
      <c r="F253" t="str">
        <f>PROPER(E253)</f>
        <v>Zapato 01-Fo-Sr Blanco 42. Fabricado En Textil Transpirable Con Refuerzo En Puntera. Puntera De No Lleva. Plantilla No Lleva. Suela De Eva/Caucho-Nitrilo</v>
      </c>
      <c r="G253" s="24">
        <f>VLOOKUP(B253,Tabla1[],2,0)</f>
        <v>26.5</v>
      </c>
      <c r="H253" s="24">
        <f>+G253/0.72</f>
        <v>36.805555555555557</v>
      </c>
      <c r="I253" s="24">
        <f>+H253*1.21</f>
        <v>44.534722222222221</v>
      </c>
      <c r="J253" s="24" t="s">
        <v>2361</v>
      </c>
      <c r="K253" s="24" t="s">
        <v>2372</v>
      </c>
      <c r="L253" t="s">
        <v>1400</v>
      </c>
      <c r="M253" t="s">
        <v>1410</v>
      </c>
      <c r="N253" t="s">
        <v>1427</v>
      </c>
      <c r="O253" t="s">
        <v>1427</v>
      </c>
      <c r="P253" t="s">
        <v>1431</v>
      </c>
      <c r="Q253">
        <v>42</v>
      </c>
      <c r="R253" s="2">
        <v>8457780337338</v>
      </c>
      <c r="S253" s="3" t="s">
        <v>871</v>
      </c>
      <c r="T253" s="1" t="s">
        <v>1377</v>
      </c>
    </row>
    <row r="254" spans="1:21" x14ac:dyDescent="0.25">
      <c r="A254" t="s">
        <v>197</v>
      </c>
      <c r="B254" t="s">
        <v>2233</v>
      </c>
      <c r="C254" t="s">
        <v>206</v>
      </c>
      <c r="D254" t="s">
        <v>1606</v>
      </c>
      <c r="E254" t="str">
        <f>+CONCATENATE(D254,". FABRICADO EN ",M254,". PUNTERA DE ",N254,". PLANTILLA ",O254,". SUELA DE ",P254)</f>
        <v>ZAPATO 01-FO-SR Blanco 43. FABRICADO EN TEXTIL TRANSPIRABLE CON REFUERZO EN PUNTERA. PUNTERA DE No lleva. PLANTILLA No lleva. SUELA DE EVA/CAUCHO-NITRILO</v>
      </c>
      <c r="F254" t="str">
        <f>PROPER(E254)</f>
        <v>Zapato 01-Fo-Sr Blanco 43. Fabricado En Textil Transpirable Con Refuerzo En Puntera. Puntera De No Lleva. Plantilla No Lleva. Suela De Eva/Caucho-Nitrilo</v>
      </c>
      <c r="G254" s="24">
        <f>VLOOKUP(B254,Tabla1[],2,0)</f>
        <v>26.5</v>
      </c>
      <c r="H254" s="24">
        <f>+G254/0.72</f>
        <v>36.805555555555557</v>
      </c>
      <c r="I254" s="24">
        <f>+H254*1.21</f>
        <v>44.534722222222221</v>
      </c>
      <c r="J254" s="24" t="s">
        <v>2361</v>
      </c>
      <c r="K254" s="24" t="s">
        <v>2372</v>
      </c>
      <c r="L254" t="s">
        <v>1400</v>
      </c>
      <c r="M254" t="s">
        <v>1410</v>
      </c>
      <c r="N254" t="s">
        <v>1427</v>
      </c>
      <c r="O254" t="s">
        <v>1427</v>
      </c>
      <c r="P254" t="s">
        <v>1431</v>
      </c>
      <c r="Q254">
        <v>43</v>
      </c>
      <c r="R254" s="2">
        <v>8457780337345</v>
      </c>
      <c r="S254" s="3" t="s">
        <v>872</v>
      </c>
      <c r="T254" s="1" t="s">
        <v>1377</v>
      </c>
    </row>
    <row r="255" spans="1:21" x14ac:dyDescent="0.25">
      <c r="A255" t="s">
        <v>197</v>
      </c>
      <c r="B255" t="s">
        <v>2233</v>
      </c>
      <c r="C255" t="s">
        <v>207</v>
      </c>
      <c r="D255" t="s">
        <v>1607</v>
      </c>
      <c r="E255" t="str">
        <f>+CONCATENATE(D255,". FABRICADO EN ",M255,". PUNTERA DE ",N255,". PLANTILLA ",O255,". SUELA DE ",P255)</f>
        <v>ZAPATO 01-FO-SR Blanco 44. FABRICADO EN TEXTIL TRANSPIRABLE CON REFUERZO EN PUNTERA. PUNTERA DE No lleva. PLANTILLA No lleva. SUELA DE EVA/CAUCHO-NITRILO</v>
      </c>
      <c r="F255" t="str">
        <f>PROPER(E255)</f>
        <v>Zapato 01-Fo-Sr Blanco 44. Fabricado En Textil Transpirable Con Refuerzo En Puntera. Puntera De No Lleva. Plantilla No Lleva. Suela De Eva/Caucho-Nitrilo</v>
      </c>
      <c r="G255" s="24">
        <f>VLOOKUP(B255,Tabla1[],2,0)</f>
        <v>26.5</v>
      </c>
      <c r="H255" s="24">
        <f>+G255/0.72</f>
        <v>36.805555555555557</v>
      </c>
      <c r="I255" s="24">
        <f>+H255*1.21</f>
        <v>44.534722222222221</v>
      </c>
      <c r="J255" s="24" t="s">
        <v>2361</v>
      </c>
      <c r="K255" s="24" t="s">
        <v>2372</v>
      </c>
      <c r="L255" t="s">
        <v>1400</v>
      </c>
      <c r="M255" t="s">
        <v>1410</v>
      </c>
      <c r="N255" t="s">
        <v>1427</v>
      </c>
      <c r="O255" t="s">
        <v>1427</v>
      </c>
      <c r="P255" t="s">
        <v>1431</v>
      </c>
      <c r="Q255">
        <v>44</v>
      </c>
      <c r="R255" s="2">
        <v>8457780337352</v>
      </c>
      <c r="S255" s="3" t="s">
        <v>873</v>
      </c>
      <c r="T255" s="1" t="s">
        <v>1377</v>
      </c>
    </row>
    <row r="256" spans="1:21" x14ac:dyDescent="0.25">
      <c r="A256" t="s">
        <v>197</v>
      </c>
      <c r="B256" t="s">
        <v>2233</v>
      </c>
      <c r="C256" t="s">
        <v>208</v>
      </c>
      <c r="D256" t="s">
        <v>1608</v>
      </c>
      <c r="E256" t="str">
        <f>+CONCATENATE(D256,". FABRICADO EN ",M256,". PUNTERA DE ",N256,". PLANTILLA ",O256,". SUELA DE ",P256)</f>
        <v>ZAPATO 01-FO-SR Blanco 45. FABRICADO EN TEXTIL TRANSPIRABLE CON REFUERZO EN PUNTERA. PUNTERA DE No lleva. PLANTILLA No lleva. SUELA DE EVA/CAUCHO-NITRILO</v>
      </c>
      <c r="F256" t="str">
        <f>PROPER(E256)</f>
        <v>Zapato 01-Fo-Sr Blanco 45. Fabricado En Textil Transpirable Con Refuerzo En Puntera. Puntera De No Lleva. Plantilla No Lleva. Suela De Eva/Caucho-Nitrilo</v>
      </c>
      <c r="G256" s="24">
        <f>VLOOKUP(B256,Tabla1[],2,0)</f>
        <v>26.5</v>
      </c>
      <c r="H256" s="24">
        <f>+G256/0.72</f>
        <v>36.805555555555557</v>
      </c>
      <c r="I256" s="24">
        <f>+H256*1.21</f>
        <v>44.534722222222221</v>
      </c>
      <c r="J256" s="24" t="s">
        <v>2361</v>
      </c>
      <c r="K256" s="24" t="s">
        <v>2372</v>
      </c>
      <c r="L256" t="s">
        <v>1400</v>
      </c>
      <c r="M256" t="s">
        <v>1410</v>
      </c>
      <c r="N256" t="s">
        <v>1427</v>
      </c>
      <c r="O256" t="s">
        <v>1427</v>
      </c>
      <c r="P256" t="s">
        <v>1431</v>
      </c>
      <c r="Q256">
        <v>45</v>
      </c>
      <c r="R256" s="2">
        <v>8457780337369</v>
      </c>
      <c r="S256" s="3" t="s">
        <v>874</v>
      </c>
      <c r="T256" s="1" t="s">
        <v>1377</v>
      </c>
    </row>
    <row r="257" spans="1:21" x14ac:dyDescent="0.25">
      <c r="A257" t="s">
        <v>197</v>
      </c>
      <c r="B257" t="s">
        <v>2233</v>
      </c>
      <c r="C257" t="s">
        <v>209</v>
      </c>
      <c r="D257" t="s">
        <v>1609</v>
      </c>
      <c r="E257" t="str">
        <f>+CONCATENATE(D257,". FABRICADO EN ",M257,". PUNTERA DE ",N257,". PLANTILLA ",O257,". SUELA DE ",P257)</f>
        <v>ZAPATO 01-FO-SR Blanco 46. FABRICADO EN TEXTIL TRANSPIRABLE CON REFUERZO EN PUNTERA. PUNTERA DE No lleva. PLANTILLA No lleva. SUELA DE EVA/CAUCHO-NITRILO</v>
      </c>
      <c r="F257" t="str">
        <f>PROPER(E257)</f>
        <v>Zapato 01-Fo-Sr Blanco 46. Fabricado En Textil Transpirable Con Refuerzo En Puntera. Puntera De No Lleva. Plantilla No Lleva. Suela De Eva/Caucho-Nitrilo</v>
      </c>
      <c r="G257" s="24">
        <f>VLOOKUP(B257,Tabla1[],2,0)</f>
        <v>26.5</v>
      </c>
      <c r="H257" s="24">
        <f>+G257/0.72</f>
        <v>36.805555555555557</v>
      </c>
      <c r="I257" s="24">
        <f>+H257*1.21</f>
        <v>44.534722222222221</v>
      </c>
      <c r="J257" s="24" t="s">
        <v>2361</v>
      </c>
      <c r="K257" s="24" t="s">
        <v>2372</v>
      </c>
      <c r="L257" t="s">
        <v>1400</v>
      </c>
      <c r="M257" t="s">
        <v>1410</v>
      </c>
      <c r="N257" t="s">
        <v>1427</v>
      </c>
      <c r="O257" t="s">
        <v>1427</v>
      </c>
      <c r="P257" t="s">
        <v>1431</v>
      </c>
      <c r="Q257">
        <v>46</v>
      </c>
      <c r="R257" s="2">
        <v>8457780337376</v>
      </c>
      <c r="S257" s="3" t="s">
        <v>875</v>
      </c>
      <c r="T257" s="1" t="s">
        <v>1377</v>
      </c>
    </row>
    <row r="258" spans="1:21" x14ac:dyDescent="0.25">
      <c r="A258" t="s">
        <v>197</v>
      </c>
      <c r="B258" t="s">
        <v>2233</v>
      </c>
      <c r="C258" t="s">
        <v>210</v>
      </c>
      <c r="D258" t="s">
        <v>1610</v>
      </c>
      <c r="E258" t="str">
        <f>+CONCATENATE(D258,". FABRICADO EN ",M258,". PUNTERA DE ",N258,". PLANTILLA ",O258,". SUELA DE ",P258)</f>
        <v>ZAPATO 01-FO-SR Blanco 47. FABRICADO EN TEXTIL TRANSPIRABLE CON REFUERZO EN PUNTERA. PUNTERA DE No lleva. PLANTILLA No lleva. SUELA DE EVA/CAUCHO-NITRILO</v>
      </c>
      <c r="F258" t="str">
        <f>PROPER(E258)</f>
        <v>Zapato 01-Fo-Sr Blanco 47. Fabricado En Textil Transpirable Con Refuerzo En Puntera. Puntera De No Lleva. Plantilla No Lleva. Suela De Eva/Caucho-Nitrilo</v>
      </c>
      <c r="G258" s="24">
        <f>VLOOKUP(B258,Tabla1[],2,0)</f>
        <v>26.5</v>
      </c>
      <c r="H258" s="24">
        <f>+G258/0.72</f>
        <v>36.805555555555557</v>
      </c>
      <c r="I258" s="24">
        <f>+H258*1.21</f>
        <v>44.534722222222221</v>
      </c>
      <c r="J258" s="24" t="s">
        <v>2361</v>
      </c>
      <c r="K258" s="24" t="s">
        <v>2372</v>
      </c>
      <c r="L258" t="s">
        <v>1400</v>
      </c>
      <c r="M258" t="s">
        <v>1410</v>
      </c>
      <c r="N258" t="s">
        <v>1427</v>
      </c>
      <c r="O258" t="s">
        <v>1427</v>
      </c>
      <c r="P258" t="s">
        <v>1431</v>
      </c>
      <c r="Q258">
        <v>47</v>
      </c>
      <c r="R258" s="2">
        <v>8457780337383</v>
      </c>
      <c r="S258" s="3" t="s">
        <v>876</v>
      </c>
      <c r="T258" s="1" t="s">
        <v>1377</v>
      </c>
    </row>
    <row r="259" spans="1:21" x14ac:dyDescent="0.25">
      <c r="A259" t="s">
        <v>197</v>
      </c>
      <c r="B259" t="s">
        <v>2233</v>
      </c>
      <c r="C259" t="s">
        <v>211</v>
      </c>
      <c r="D259" t="s">
        <v>1611</v>
      </c>
      <c r="E259" t="str">
        <f>+CONCATENATE(D259,". FABRICADO EN ",M259,". PUNTERA DE ",N259,". PLANTILLA ",O259,". SUELA DE ",P259)</f>
        <v>ZAPATO 01-FO-SR Blanco 48. FABRICADO EN TEXTIL TRANSPIRABLE CON REFUERZO EN PUNTERA. PUNTERA DE No lleva. PLANTILLA No lleva. SUELA DE EVA/CAUCHO-NITRILO</v>
      </c>
      <c r="F259" t="str">
        <f>PROPER(E259)</f>
        <v>Zapato 01-Fo-Sr Blanco 48. Fabricado En Textil Transpirable Con Refuerzo En Puntera. Puntera De No Lleva. Plantilla No Lleva. Suela De Eva/Caucho-Nitrilo</v>
      </c>
      <c r="G259" s="24">
        <f>VLOOKUP(B259,Tabla1[],2,0)</f>
        <v>26.5</v>
      </c>
      <c r="H259" s="24">
        <f>+G259/0.72</f>
        <v>36.805555555555557</v>
      </c>
      <c r="I259" s="24">
        <f>+H259*1.21</f>
        <v>44.534722222222221</v>
      </c>
      <c r="J259" s="24" t="s">
        <v>2361</v>
      </c>
      <c r="K259" s="24" t="s">
        <v>2372</v>
      </c>
      <c r="L259" t="s">
        <v>1400</v>
      </c>
      <c r="M259" t="s">
        <v>1410</v>
      </c>
      <c r="N259" t="s">
        <v>1427</v>
      </c>
      <c r="O259" t="s">
        <v>1427</v>
      </c>
      <c r="P259" t="s">
        <v>1431</v>
      </c>
      <c r="Q259">
        <v>48</v>
      </c>
      <c r="R259" s="2">
        <v>8457780337390</v>
      </c>
      <c r="S259" s="3" t="s">
        <v>877</v>
      </c>
      <c r="T259" s="1" t="s">
        <v>1377</v>
      </c>
    </row>
    <row r="260" spans="1:21" x14ac:dyDescent="0.25">
      <c r="A260" t="s">
        <v>212</v>
      </c>
      <c r="B260" t="s">
        <v>2234</v>
      </c>
      <c r="C260" t="s">
        <v>213</v>
      </c>
      <c r="D260" t="s">
        <v>1612</v>
      </c>
      <c r="E260" t="str">
        <f>+CONCATENATE(D260,". FABRICADO EN ",M260,". PUNTERA DE ",N260,". PLANTILLA ",O260,". SUELA DE ",P260)</f>
        <v>ZAPATO MF S1+P+CI+SRC+ESD Negro 35. FABRICADO EN MICROFIBRA ACABADO SERRAJE + REJILLA. PUNTERA DE Fibra de vidrio. PLANTILLA Antiperforación textil. SUELA DE PU/PU DOBLE DENSIDAD</v>
      </c>
      <c r="F260" t="str">
        <f>PROPER(E260)</f>
        <v>Zapato Mf S1+P+Ci+Src+Esd Negro 35. Fabricado En Microfibra Acabado Serraje + Rejilla. Puntera De Fibra De Vidrio. Plantilla Antiperforación Textil. Suela De Pu/Pu Doble Densidad</v>
      </c>
      <c r="G260" s="24">
        <f>VLOOKUP(B260,Tabla1[],2,0)</f>
        <v>24.56</v>
      </c>
      <c r="H260" s="24">
        <f>+G260/0.72</f>
        <v>34.111111111111107</v>
      </c>
      <c r="I260" s="24">
        <f>+H260*1.21</f>
        <v>41.274444444444441</v>
      </c>
      <c r="J260" s="24" t="s">
        <v>2359</v>
      </c>
      <c r="K260" s="24" t="s">
        <v>2371</v>
      </c>
      <c r="L260" t="s">
        <v>1392</v>
      </c>
      <c r="M260" t="s">
        <v>1423</v>
      </c>
      <c r="N260" t="s">
        <v>1425</v>
      </c>
      <c r="O260" t="s">
        <v>1428</v>
      </c>
      <c r="P260" t="s">
        <v>1429</v>
      </c>
      <c r="Q260">
        <v>35</v>
      </c>
      <c r="R260" s="2">
        <v>8457780304088</v>
      </c>
      <c r="S260" s="3" t="s">
        <v>878</v>
      </c>
      <c r="T260" t="s">
        <v>1317</v>
      </c>
      <c r="U260" t="s">
        <v>1318</v>
      </c>
    </row>
    <row r="261" spans="1:21" x14ac:dyDescent="0.25">
      <c r="A261" t="s">
        <v>212</v>
      </c>
      <c r="B261" t="s">
        <v>2234</v>
      </c>
      <c r="C261" t="s">
        <v>214</v>
      </c>
      <c r="D261" t="s">
        <v>1613</v>
      </c>
      <c r="E261" t="str">
        <f>+CONCATENATE(D261,". FABRICADO EN ",M261,". PUNTERA DE ",N261,". PLANTILLA ",O261,". SUELA DE ",P261)</f>
        <v>ZAPATO MF S1+P+CI+SRC+ESD Negro 36. FABRICADO EN MICROFIBRA ACABADO SERRAJE + REJILLA. PUNTERA DE Fibra de vidrio. PLANTILLA Antiperforación textil. SUELA DE PU/PU DOBLE DENSIDAD</v>
      </c>
      <c r="F261" t="str">
        <f>PROPER(E261)</f>
        <v>Zapato Mf S1+P+Ci+Src+Esd Negro 36. Fabricado En Microfibra Acabado Serraje + Rejilla. Puntera De Fibra De Vidrio. Plantilla Antiperforación Textil. Suela De Pu/Pu Doble Densidad</v>
      </c>
      <c r="G261" s="24">
        <f>VLOOKUP(B261,Tabla1[],2,0)</f>
        <v>24.56</v>
      </c>
      <c r="H261" s="24">
        <f>+G261/0.72</f>
        <v>34.111111111111107</v>
      </c>
      <c r="I261" s="24">
        <f>+H261*1.21</f>
        <v>41.274444444444441</v>
      </c>
      <c r="J261" s="24" t="s">
        <v>2359</v>
      </c>
      <c r="K261" s="24" t="s">
        <v>2371</v>
      </c>
      <c r="L261" t="s">
        <v>1392</v>
      </c>
      <c r="M261" t="s">
        <v>1423</v>
      </c>
      <c r="N261" t="s">
        <v>1425</v>
      </c>
      <c r="O261" t="s">
        <v>1428</v>
      </c>
      <c r="P261" t="s">
        <v>1429</v>
      </c>
      <c r="Q261">
        <v>36</v>
      </c>
      <c r="R261" s="2">
        <v>8457780269202</v>
      </c>
      <c r="S261" s="3" t="s">
        <v>879</v>
      </c>
      <c r="T261" t="s">
        <v>1317</v>
      </c>
      <c r="U261" t="s">
        <v>1318</v>
      </c>
    </row>
    <row r="262" spans="1:21" x14ac:dyDescent="0.25">
      <c r="A262" t="s">
        <v>212</v>
      </c>
      <c r="B262" t="s">
        <v>2234</v>
      </c>
      <c r="C262" t="s">
        <v>215</v>
      </c>
      <c r="D262" t="s">
        <v>1614</v>
      </c>
      <c r="E262" t="str">
        <f>+CONCATENATE(D262,". FABRICADO EN ",M262,". PUNTERA DE ",N262,". PLANTILLA ",O262,". SUELA DE ",P262)</f>
        <v>ZAPATO MF S1+P+CI+SRC+ESD Negro 37. FABRICADO EN MICROFIBRA ACABADO SERRAJE + REJILLA. PUNTERA DE Fibra de vidrio. PLANTILLA Antiperforación textil. SUELA DE PU/PU DOBLE DENSIDAD</v>
      </c>
      <c r="F262" t="str">
        <f>PROPER(E262)</f>
        <v>Zapato Mf S1+P+Ci+Src+Esd Negro 37. Fabricado En Microfibra Acabado Serraje + Rejilla. Puntera De Fibra De Vidrio. Plantilla Antiperforación Textil. Suela De Pu/Pu Doble Densidad</v>
      </c>
      <c r="G262" s="24">
        <f>VLOOKUP(B262,Tabla1[],2,0)</f>
        <v>24.56</v>
      </c>
      <c r="H262" s="24">
        <f>+G262/0.72</f>
        <v>34.111111111111107</v>
      </c>
      <c r="I262" s="24">
        <f>+H262*1.21</f>
        <v>41.274444444444441</v>
      </c>
      <c r="J262" s="24" t="s">
        <v>2359</v>
      </c>
      <c r="K262" s="24" t="s">
        <v>2371</v>
      </c>
      <c r="L262" t="s">
        <v>1392</v>
      </c>
      <c r="M262" t="s">
        <v>1423</v>
      </c>
      <c r="N262" t="s">
        <v>1425</v>
      </c>
      <c r="O262" t="s">
        <v>1428</v>
      </c>
      <c r="P262" t="s">
        <v>1429</v>
      </c>
      <c r="Q262">
        <v>37</v>
      </c>
      <c r="R262" s="2">
        <v>8457780269219</v>
      </c>
      <c r="S262" s="3" t="s">
        <v>880</v>
      </c>
      <c r="T262" t="s">
        <v>1317</v>
      </c>
      <c r="U262" t="s">
        <v>1318</v>
      </c>
    </row>
    <row r="263" spans="1:21" x14ac:dyDescent="0.25">
      <c r="A263" t="s">
        <v>212</v>
      </c>
      <c r="B263" t="s">
        <v>2234</v>
      </c>
      <c r="C263" t="s">
        <v>216</v>
      </c>
      <c r="D263" t="s">
        <v>1615</v>
      </c>
      <c r="E263" t="str">
        <f>+CONCATENATE(D263,". FABRICADO EN ",M263,". PUNTERA DE ",N263,". PLANTILLA ",O263,". SUELA DE ",P263)</f>
        <v>ZAPATO MF S1+P+CI+SRC+ESD Negro 38. FABRICADO EN MICROFIBRA ACABADO SERRAJE + REJILLA. PUNTERA DE Fibra de vidrio. PLANTILLA Antiperforación textil. SUELA DE PU/PU DOBLE DENSIDAD</v>
      </c>
      <c r="F263" t="str">
        <f>PROPER(E263)</f>
        <v>Zapato Mf S1+P+Ci+Src+Esd Negro 38. Fabricado En Microfibra Acabado Serraje + Rejilla. Puntera De Fibra De Vidrio. Plantilla Antiperforación Textil. Suela De Pu/Pu Doble Densidad</v>
      </c>
      <c r="G263" s="24">
        <f>VLOOKUP(B263,Tabla1[],2,0)</f>
        <v>24.56</v>
      </c>
      <c r="H263" s="24">
        <f>+G263/0.72</f>
        <v>34.111111111111107</v>
      </c>
      <c r="I263" s="24">
        <f>+H263*1.21</f>
        <v>41.274444444444441</v>
      </c>
      <c r="J263" s="24" t="s">
        <v>2359</v>
      </c>
      <c r="K263" s="24" t="s">
        <v>2371</v>
      </c>
      <c r="L263" t="s">
        <v>1392</v>
      </c>
      <c r="M263" t="s">
        <v>1423</v>
      </c>
      <c r="N263" t="s">
        <v>1425</v>
      </c>
      <c r="O263" t="s">
        <v>1428</v>
      </c>
      <c r="P263" t="s">
        <v>1429</v>
      </c>
      <c r="Q263">
        <v>38</v>
      </c>
      <c r="R263" s="2">
        <v>8457780269226</v>
      </c>
      <c r="S263" s="3" t="s">
        <v>881</v>
      </c>
      <c r="T263" t="s">
        <v>1317</v>
      </c>
      <c r="U263" t="s">
        <v>1318</v>
      </c>
    </row>
    <row r="264" spans="1:21" x14ac:dyDescent="0.25">
      <c r="A264" t="s">
        <v>212</v>
      </c>
      <c r="B264" t="s">
        <v>2234</v>
      </c>
      <c r="C264" t="s">
        <v>217</v>
      </c>
      <c r="D264" t="s">
        <v>1616</v>
      </c>
      <c r="E264" t="str">
        <f>+CONCATENATE(D264,". FABRICADO EN ",M264,". PUNTERA DE ",N264,". PLANTILLA ",O264,". SUELA DE ",P264)</f>
        <v>ZAPATO MF S1+P+CI+SRC+ESD Negro 39. FABRICADO EN MICROFIBRA ACABADO SERRAJE + REJILLA. PUNTERA DE Fibra de vidrio. PLANTILLA Antiperforación textil. SUELA DE PU/PU DOBLE DENSIDAD</v>
      </c>
      <c r="F264" t="str">
        <f>PROPER(E264)</f>
        <v>Zapato Mf S1+P+Ci+Src+Esd Negro 39. Fabricado En Microfibra Acabado Serraje + Rejilla. Puntera De Fibra De Vidrio. Plantilla Antiperforación Textil. Suela De Pu/Pu Doble Densidad</v>
      </c>
      <c r="G264" s="24">
        <f>VLOOKUP(B264,Tabla1[],2,0)</f>
        <v>24.56</v>
      </c>
      <c r="H264" s="24">
        <f>+G264/0.72</f>
        <v>34.111111111111107</v>
      </c>
      <c r="I264" s="24">
        <f>+H264*1.21</f>
        <v>41.274444444444441</v>
      </c>
      <c r="J264" s="24" t="s">
        <v>2359</v>
      </c>
      <c r="K264" s="24" t="s">
        <v>2371</v>
      </c>
      <c r="L264" t="s">
        <v>1392</v>
      </c>
      <c r="M264" t="s">
        <v>1423</v>
      </c>
      <c r="N264" t="s">
        <v>1425</v>
      </c>
      <c r="O264" t="s">
        <v>1428</v>
      </c>
      <c r="P264" t="s">
        <v>1429</v>
      </c>
      <c r="Q264">
        <v>39</v>
      </c>
      <c r="R264" s="2">
        <v>8457780269233</v>
      </c>
      <c r="S264" s="3" t="s">
        <v>882</v>
      </c>
      <c r="T264" t="s">
        <v>1317</v>
      </c>
      <c r="U264" t="s">
        <v>1318</v>
      </c>
    </row>
    <row r="265" spans="1:21" x14ac:dyDescent="0.25">
      <c r="A265" t="s">
        <v>212</v>
      </c>
      <c r="B265" t="s">
        <v>2234</v>
      </c>
      <c r="C265" t="s">
        <v>218</v>
      </c>
      <c r="D265" t="s">
        <v>1617</v>
      </c>
      <c r="E265" t="str">
        <f>+CONCATENATE(D265,". FABRICADO EN ",M265,". PUNTERA DE ",N265,". PLANTILLA ",O265,". SUELA DE ",P265)</f>
        <v>ZAPATO MF S1+P+CI+SRC+ESD Negro 40. FABRICADO EN MICROFIBRA ACABADO SERRAJE + REJILLA. PUNTERA DE Fibra de vidrio. PLANTILLA Antiperforación textil. SUELA DE PU/PU DOBLE DENSIDAD</v>
      </c>
      <c r="F265" t="str">
        <f>PROPER(E265)</f>
        <v>Zapato Mf S1+P+Ci+Src+Esd Negro 40. Fabricado En Microfibra Acabado Serraje + Rejilla. Puntera De Fibra De Vidrio. Plantilla Antiperforación Textil. Suela De Pu/Pu Doble Densidad</v>
      </c>
      <c r="G265" s="24">
        <f>VLOOKUP(B265,Tabla1[],2,0)</f>
        <v>24.56</v>
      </c>
      <c r="H265" s="24">
        <f>+G265/0.72</f>
        <v>34.111111111111107</v>
      </c>
      <c r="I265" s="24">
        <f>+H265*1.21</f>
        <v>41.274444444444441</v>
      </c>
      <c r="J265" s="24" t="s">
        <v>2359</v>
      </c>
      <c r="K265" s="24" t="s">
        <v>2371</v>
      </c>
      <c r="L265" t="s">
        <v>1392</v>
      </c>
      <c r="M265" t="s">
        <v>1423</v>
      </c>
      <c r="N265" t="s">
        <v>1425</v>
      </c>
      <c r="O265" t="s">
        <v>1428</v>
      </c>
      <c r="P265" t="s">
        <v>1429</v>
      </c>
      <c r="Q265">
        <v>40</v>
      </c>
      <c r="R265" s="2">
        <v>8457780269240</v>
      </c>
      <c r="S265" s="3" t="s">
        <v>883</v>
      </c>
      <c r="T265" t="s">
        <v>1317</v>
      </c>
      <c r="U265" t="s">
        <v>1318</v>
      </c>
    </row>
    <row r="266" spans="1:21" x14ac:dyDescent="0.25">
      <c r="A266" t="s">
        <v>212</v>
      </c>
      <c r="B266" t="s">
        <v>2234</v>
      </c>
      <c r="C266" t="s">
        <v>219</v>
      </c>
      <c r="D266" t="s">
        <v>1618</v>
      </c>
      <c r="E266" t="str">
        <f>+CONCATENATE(D266,". FABRICADO EN ",M266,". PUNTERA DE ",N266,". PLANTILLA ",O266,". SUELA DE ",P266)</f>
        <v>ZAPATO MF S1+P+CI+SRC+ESD Negro 41. FABRICADO EN MICROFIBRA ACABADO SERRAJE + REJILLA. PUNTERA DE Fibra de vidrio. PLANTILLA Antiperforación textil. SUELA DE PU/PU DOBLE DENSIDAD</v>
      </c>
      <c r="F266" t="str">
        <f>PROPER(E266)</f>
        <v>Zapato Mf S1+P+Ci+Src+Esd Negro 41. Fabricado En Microfibra Acabado Serraje + Rejilla. Puntera De Fibra De Vidrio. Plantilla Antiperforación Textil. Suela De Pu/Pu Doble Densidad</v>
      </c>
      <c r="G266" s="24">
        <f>VLOOKUP(B266,Tabla1[],2,0)</f>
        <v>24.56</v>
      </c>
      <c r="H266" s="24">
        <f>+G266/0.72</f>
        <v>34.111111111111107</v>
      </c>
      <c r="I266" s="24">
        <f>+H266*1.21</f>
        <v>41.274444444444441</v>
      </c>
      <c r="J266" s="24" t="s">
        <v>2359</v>
      </c>
      <c r="K266" s="24" t="s">
        <v>2371</v>
      </c>
      <c r="L266" t="s">
        <v>1392</v>
      </c>
      <c r="M266" t="s">
        <v>1423</v>
      </c>
      <c r="N266" t="s">
        <v>1425</v>
      </c>
      <c r="O266" t="s">
        <v>1428</v>
      </c>
      <c r="P266" t="s">
        <v>1429</v>
      </c>
      <c r="Q266">
        <v>41</v>
      </c>
      <c r="R266" s="2">
        <v>8457780269257</v>
      </c>
      <c r="S266" s="3" t="s">
        <v>884</v>
      </c>
      <c r="T266" t="s">
        <v>1317</v>
      </c>
      <c r="U266" t="s">
        <v>1318</v>
      </c>
    </row>
    <row r="267" spans="1:21" x14ac:dyDescent="0.25">
      <c r="A267" t="s">
        <v>212</v>
      </c>
      <c r="B267" t="s">
        <v>2234</v>
      </c>
      <c r="C267" t="s">
        <v>220</v>
      </c>
      <c r="D267" t="s">
        <v>1619</v>
      </c>
      <c r="E267" t="str">
        <f>+CONCATENATE(D267,". FABRICADO EN ",M267,". PUNTERA DE ",N267,". PLANTILLA ",O267,". SUELA DE ",P267)</f>
        <v>ZAPATO MF S1+P+CI+SRC+ESD Negro 42. FABRICADO EN MICROFIBRA ACABADO SERRAJE + REJILLA. PUNTERA DE Fibra de vidrio. PLANTILLA Antiperforación textil. SUELA DE PU/PU DOBLE DENSIDAD</v>
      </c>
      <c r="F267" t="str">
        <f>PROPER(E267)</f>
        <v>Zapato Mf S1+P+Ci+Src+Esd Negro 42. Fabricado En Microfibra Acabado Serraje + Rejilla. Puntera De Fibra De Vidrio. Plantilla Antiperforación Textil. Suela De Pu/Pu Doble Densidad</v>
      </c>
      <c r="G267" s="24">
        <f>VLOOKUP(B267,Tabla1[],2,0)</f>
        <v>24.56</v>
      </c>
      <c r="H267" s="24">
        <f>+G267/0.72</f>
        <v>34.111111111111107</v>
      </c>
      <c r="I267" s="24">
        <f>+H267*1.21</f>
        <v>41.274444444444441</v>
      </c>
      <c r="J267" s="24" t="s">
        <v>2359</v>
      </c>
      <c r="K267" s="24" t="s">
        <v>2371</v>
      </c>
      <c r="L267" t="s">
        <v>1392</v>
      </c>
      <c r="M267" t="s">
        <v>1423</v>
      </c>
      <c r="N267" t="s">
        <v>1425</v>
      </c>
      <c r="O267" t="s">
        <v>1428</v>
      </c>
      <c r="P267" t="s">
        <v>1429</v>
      </c>
      <c r="Q267">
        <v>42</v>
      </c>
      <c r="R267" s="2">
        <v>8457780269264</v>
      </c>
      <c r="S267" s="3" t="s">
        <v>885</v>
      </c>
      <c r="T267" t="s">
        <v>1317</v>
      </c>
      <c r="U267" t="s">
        <v>1318</v>
      </c>
    </row>
    <row r="268" spans="1:21" x14ac:dyDescent="0.25">
      <c r="A268" t="s">
        <v>212</v>
      </c>
      <c r="B268" t="s">
        <v>2234</v>
      </c>
      <c r="C268" t="s">
        <v>221</v>
      </c>
      <c r="D268" t="s">
        <v>1620</v>
      </c>
      <c r="E268" t="str">
        <f>+CONCATENATE(D268,". FABRICADO EN ",M268,". PUNTERA DE ",N268,". PLANTILLA ",O268,". SUELA DE ",P268)</f>
        <v>ZAPATO MF S1+P+CI+SRC+ESD Negro 43. FABRICADO EN MICROFIBRA ACABADO SERRAJE + REJILLA. PUNTERA DE Fibra de vidrio. PLANTILLA Antiperforación textil. SUELA DE PU/PU DOBLE DENSIDAD</v>
      </c>
      <c r="F268" t="str">
        <f>PROPER(E268)</f>
        <v>Zapato Mf S1+P+Ci+Src+Esd Negro 43. Fabricado En Microfibra Acabado Serraje + Rejilla. Puntera De Fibra De Vidrio. Plantilla Antiperforación Textil. Suela De Pu/Pu Doble Densidad</v>
      </c>
      <c r="G268" s="24">
        <f>VLOOKUP(B268,Tabla1[],2,0)</f>
        <v>24.56</v>
      </c>
      <c r="H268" s="24">
        <f>+G268/0.72</f>
        <v>34.111111111111107</v>
      </c>
      <c r="I268" s="24">
        <f>+H268*1.21</f>
        <v>41.274444444444441</v>
      </c>
      <c r="J268" s="24" t="s">
        <v>2359</v>
      </c>
      <c r="K268" s="24" t="s">
        <v>2371</v>
      </c>
      <c r="L268" t="s">
        <v>1392</v>
      </c>
      <c r="M268" t="s">
        <v>1423</v>
      </c>
      <c r="N268" t="s">
        <v>1425</v>
      </c>
      <c r="O268" t="s">
        <v>1428</v>
      </c>
      <c r="P268" t="s">
        <v>1429</v>
      </c>
      <c r="Q268">
        <v>43</v>
      </c>
      <c r="R268" s="2">
        <v>8457780269271</v>
      </c>
      <c r="S268" s="3" t="s">
        <v>886</v>
      </c>
      <c r="T268" t="s">
        <v>1317</v>
      </c>
      <c r="U268" t="s">
        <v>1318</v>
      </c>
    </row>
    <row r="269" spans="1:21" x14ac:dyDescent="0.25">
      <c r="A269" t="s">
        <v>212</v>
      </c>
      <c r="B269" t="s">
        <v>2234</v>
      </c>
      <c r="C269" t="s">
        <v>222</v>
      </c>
      <c r="D269" t="s">
        <v>1621</v>
      </c>
      <c r="E269" t="str">
        <f>+CONCATENATE(D269,". FABRICADO EN ",M269,". PUNTERA DE ",N269,". PLANTILLA ",O269,". SUELA DE ",P269)</f>
        <v>ZAPATO MF S1+P+CI+SRC+ESD Negro 44. FABRICADO EN MICROFIBRA ACABADO SERRAJE + REJILLA. PUNTERA DE Fibra de vidrio. PLANTILLA Antiperforación textil. SUELA DE PU/PU DOBLE DENSIDAD</v>
      </c>
      <c r="F269" t="str">
        <f>PROPER(E269)</f>
        <v>Zapato Mf S1+P+Ci+Src+Esd Negro 44. Fabricado En Microfibra Acabado Serraje + Rejilla. Puntera De Fibra De Vidrio. Plantilla Antiperforación Textil. Suela De Pu/Pu Doble Densidad</v>
      </c>
      <c r="G269" s="24">
        <f>VLOOKUP(B269,Tabla1[],2,0)</f>
        <v>24.56</v>
      </c>
      <c r="H269" s="24">
        <f>+G269/0.72</f>
        <v>34.111111111111107</v>
      </c>
      <c r="I269" s="24">
        <f>+H269*1.21</f>
        <v>41.274444444444441</v>
      </c>
      <c r="J269" s="24" t="s">
        <v>2359</v>
      </c>
      <c r="K269" s="24" t="s">
        <v>2371</v>
      </c>
      <c r="L269" t="s">
        <v>1392</v>
      </c>
      <c r="M269" t="s">
        <v>1423</v>
      </c>
      <c r="N269" t="s">
        <v>1425</v>
      </c>
      <c r="O269" t="s">
        <v>1428</v>
      </c>
      <c r="P269" t="s">
        <v>1429</v>
      </c>
      <c r="Q269">
        <v>44</v>
      </c>
      <c r="R269" s="2">
        <v>8457780269288</v>
      </c>
      <c r="S269" s="3" t="s">
        <v>887</v>
      </c>
      <c r="T269" t="s">
        <v>1317</v>
      </c>
      <c r="U269" t="s">
        <v>1318</v>
      </c>
    </row>
    <row r="270" spans="1:21" x14ac:dyDescent="0.25">
      <c r="A270" t="s">
        <v>212</v>
      </c>
      <c r="B270" t="s">
        <v>2234</v>
      </c>
      <c r="C270" t="s">
        <v>223</v>
      </c>
      <c r="D270" t="s">
        <v>1622</v>
      </c>
      <c r="E270" t="str">
        <f>+CONCATENATE(D270,". FABRICADO EN ",M270,". PUNTERA DE ",N270,". PLANTILLA ",O270,". SUELA DE ",P270)</f>
        <v>ZAPATO MF S1+P+CI+SRC+ESD Negro 45. FABRICADO EN MICROFIBRA ACABADO SERRAJE + REJILLA. PUNTERA DE Fibra de vidrio. PLANTILLA Antiperforación textil. SUELA DE PU/PU DOBLE DENSIDAD</v>
      </c>
      <c r="F270" t="str">
        <f>PROPER(E270)</f>
        <v>Zapato Mf S1+P+Ci+Src+Esd Negro 45. Fabricado En Microfibra Acabado Serraje + Rejilla. Puntera De Fibra De Vidrio. Plantilla Antiperforación Textil. Suela De Pu/Pu Doble Densidad</v>
      </c>
      <c r="G270" s="24">
        <f>VLOOKUP(B270,Tabla1[],2,0)</f>
        <v>24.56</v>
      </c>
      <c r="H270" s="24">
        <f>+G270/0.72</f>
        <v>34.111111111111107</v>
      </c>
      <c r="I270" s="24">
        <f>+H270*1.21</f>
        <v>41.274444444444441</v>
      </c>
      <c r="J270" s="24" t="s">
        <v>2359</v>
      </c>
      <c r="K270" s="24" t="s">
        <v>2371</v>
      </c>
      <c r="L270" t="s">
        <v>1392</v>
      </c>
      <c r="M270" t="s">
        <v>1423</v>
      </c>
      <c r="N270" t="s">
        <v>1425</v>
      </c>
      <c r="O270" t="s">
        <v>1428</v>
      </c>
      <c r="P270" t="s">
        <v>1429</v>
      </c>
      <c r="Q270">
        <v>45</v>
      </c>
      <c r="R270" s="2">
        <v>8457780269295</v>
      </c>
      <c r="S270" s="3" t="s">
        <v>888</v>
      </c>
      <c r="T270" t="s">
        <v>1317</v>
      </c>
      <c r="U270" t="s">
        <v>1318</v>
      </c>
    </row>
    <row r="271" spans="1:21" x14ac:dyDescent="0.25">
      <c r="A271" t="s">
        <v>212</v>
      </c>
      <c r="B271" t="s">
        <v>2234</v>
      </c>
      <c r="C271" t="s">
        <v>224</v>
      </c>
      <c r="D271" t="s">
        <v>1623</v>
      </c>
      <c r="E271" t="str">
        <f>+CONCATENATE(D271,". FABRICADO EN ",M271,". PUNTERA DE ",N271,". PLANTILLA ",O271,". SUELA DE ",P271)</f>
        <v>ZAPATO MF S1+P+CI+SRC+ESD Negro 46. FABRICADO EN MICROFIBRA ACABADO SERRAJE + REJILLA. PUNTERA DE Fibra de vidrio. PLANTILLA Antiperforación textil. SUELA DE PU/PU DOBLE DENSIDAD</v>
      </c>
      <c r="F271" t="str">
        <f>PROPER(E271)</f>
        <v>Zapato Mf S1+P+Ci+Src+Esd Negro 46. Fabricado En Microfibra Acabado Serraje + Rejilla. Puntera De Fibra De Vidrio. Plantilla Antiperforación Textil. Suela De Pu/Pu Doble Densidad</v>
      </c>
      <c r="G271" s="24">
        <f>VLOOKUP(B271,Tabla1[],2,0)</f>
        <v>24.56</v>
      </c>
      <c r="H271" s="24">
        <f>+G271/0.72</f>
        <v>34.111111111111107</v>
      </c>
      <c r="I271" s="24">
        <f>+H271*1.21</f>
        <v>41.274444444444441</v>
      </c>
      <c r="J271" s="24" t="s">
        <v>2359</v>
      </c>
      <c r="K271" s="24" t="s">
        <v>2371</v>
      </c>
      <c r="L271" t="s">
        <v>1392</v>
      </c>
      <c r="M271" t="s">
        <v>1423</v>
      </c>
      <c r="N271" t="s">
        <v>1425</v>
      </c>
      <c r="O271" t="s">
        <v>1428</v>
      </c>
      <c r="P271" t="s">
        <v>1429</v>
      </c>
      <c r="Q271">
        <v>46</v>
      </c>
      <c r="R271" s="2">
        <v>8457780269301</v>
      </c>
      <c r="S271" s="3" t="s">
        <v>889</v>
      </c>
      <c r="T271" t="s">
        <v>1317</v>
      </c>
      <c r="U271" t="s">
        <v>1318</v>
      </c>
    </row>
    <row r="272" spans="1:21" x14ac:dyDescent="0.25">
      <c r="A272" t="s">
        <v>212</v>
      </c>
      <c r="B272" t="s">
        <v>2234</v>
      </c>
      <c r="C272" t="s">
        <v>225</v>
      </c>
      <c r="D272" t="s">
        <v>1624</v>
      </c>
      <c r="E272" t="str">
        <f>+CONCATENATE(D272,". FABRICADO EN ",M272,". PUNTERA DE ",N272,". PLANTILLA ",O272,". SUELA DE ",P272)</f>
        <v>ZAPATO MF S1+P+CI+SRC+ESD Negro 47. FABRICADO EN MICROFIBRA ACABADO SERRAJE + REJILLA. PUNTERA DE Fibra de vidrio. PLANTILLA Antiperforación textil. SUELA DE PU/PU DOBLE DENSIDAD</v>
      </c>
      <c r="F272" t="str">
        <f>PROPER(E272)</f>
        <v>Zapato Mf S1+P+Ci+Src+Esd Negro 47. Fabricado En Microfibra Acabado Serraje + Rejilla. Puntera De Fibra De Vidrio. Plantilla Antiperforación Textil. Suela De Pu/Pu Doble Densidad</v>
      </c>
      <c r="G272" s="24">
        <f>VLOOKUP(B272,Tabla1[],2,0)</f>
        <v>24.56</v>
      </c>
      <c r="H272" s="24">
        <f>+G272/0.72</f>
        <v>34.111111111111107</v>
      </c>
      <c r="I272" s="24">
        <f>+H272*1.21</f>
        <v>41.274444444444441</v>
      </c>
      <c r="J272" s="24" t="s">
        <v>2359</v>
      </c>
      <c r="K272" s="24" t="s">
        <v>2371</v>
      </c>
      <c r="L272" t="s">
        <v>1392</v>
      </c>
      <c r="M272" t="s">
        <v>1423</v>
      </c>
      <c r="N272" t="s">
        <v>1425</v>
      </c>
      <c r="O272" t="s">
        <v>1428</v>
      </c>
      <c r="P272" t="s">
        <v>1429</v>
      </c>
      <c r="Q272">
        <v>47</v>
      </c>
      <c r="R272" s="2">
        <v>8457780269318</v>
      </c>
      <c r="S272" s="3" t="s">
        <v>890</v>
      </c>
      <c r="T272" t="s">
        <v>1317</v>
      </c>
      <c r="U272" t="s">
        <v>1318</v>
      </c>
    </row>
    <row r="273" spans="1:21" x14ac:dyDescent="0.25">
      <c r="A273" t="s">
        <v>212</v>
      </c>
      <c r="B273" t="s">
        <v>2234</v>
      </c>
      <c r="C273" t="s">
        <v>226</v>
      </c>
      <c r="D273" t="s">
        <v>1625</v>
      </c>
      <c r="E273" t="str">
        <f>+CONCATENATE(D273,". FABRICADO EN ",M273,". PUNTERA DE ",N273,". PLANTILLA ",O273,". SUELA DE ",P273)</f>
        <v>ZAPATO MF S1+P+CI+SRC+ESD Negro 48. FABRICADO EN MICROFIBRA ACABADO SERRAJE + REJILLA. PUNTERA DE Fibra de vidrio. PLANTILLA Antiperforación textil. SUELA DE PU/PU DOBLE DENSIDAD</v>
      </c>
      <c r="F273" t="str">
        <f>PROPER(E273)</f>
        <v>Zapato Mf S1+P+Ci+Src+Esd Negro 48. Fabricado En Microfibra Acabado Serraje + Rejilla. Puntera De Fibra De Vidrio. Plantilla Antiperforación Textil. Suela De Pu/Pu Doble Densidad</v>
      </c>
      <c r="G273" s="24">
        <f>VLOOKUP(B273,Tabla1[],2,0)</f>
        <v>24.56</v>
      </c>
      <c r="H273" s="24">
        <f>+G273/0.72</f>
        <v>34.111111111111107</v>
      </c>
      <c r="I273" s="24">
        <f>+H273*1.21</f>
        <v>41.274444444444441</v>
      </c>
      <c r="J273" s="24" t="s">
        <v>2359</v>
      </c>
      <c r="K273" s="24" t="s">
        <v>2371</v>
      </c>
      <c r="L273" t="s">
        <v>1392</v>
      </c>
      <c r="M273" t="s">
        <v>1423</v>
      </c>
      <c r="N273" t="s">
        <v>1425</v>
      </c>
      <c r="O273" t="s">
        <v>1428</v>
      </c>
      <c r="P273" t="s">
        <v>1429</v>
      </c>
      <c r="Q273">
        <v>48</v>
      </c>
      <c r="R273" s="2">
        <v>8457780304095</v>
      </c>
      <c r="S273" s="3" t="s">
        <v>891</v>
      </c>
      <c r="T273" t="s">
        <v>1317</v>
      </c>
      <c r="U273" t="s">
        <v>1318</v>
      </c>
    </row>
    <row r="274" spans="1:21" x14ac:dyDescent="0.25">
      <c r="A274" t="s">
        <v>212</v>
      </c>
      <c r="B274" t="s">
        <v>2234</v>
      </c>
      <c r="C274" t="s">
        <v>2027</v>
      </c>
      <c r="D274" t="s">
        <v>2028</v>
      </c>
      <c r="E274" t="str">
        <f>+CONCATENATE(D274,". FABRICADO EN ",M274,". PUNTERA DE ",N274,". PLANTILLA ",O274,". SUELA DE ",P274)</f>
        <v>ZAPATO MF S1+P+CI+SRC+ESD Negro 49. FABRICADO EN MICROFIBRA ACABADO SERRAJE + REJILLA. PUNTERA DE Fibra de vidrio. PLANTILLA Antiperforación textil. SUELA DE PU/PU DOBLE DENSIDAD</v>
      </c>
      <c r="F274" t="str">
        <f>PROPER(E274)</f>
        <v>Zapato Mf S1+P+Ci+Src+Esd Negro 49. Fabricado En Microfibra Acabado Serraje + Rejilla. Puntera De Fibra De Vidrio. Plantilla Antiperforación Textil. Suela De Pu/Pu Doble Densidad</v>
      </c>
      <c r="G274" s="24">
        <f>VLOOKUP(B274,Tabla1[],2,0)</f>
        <v>24.56</v>
      </c>
      <c r="H274" s="24">
        <f>+G274/0.72</f>
        <v>34.111111111111107</v>
      </c>
      <c r="I274" s="24">
        <f>+H274*1.21</f>
        <v>41.274444444444441</v>
      </c>
      <c r="J274" s="24" t="s">
        <v>2359</v>
      </c>
      <c r="K274" s="24" t="s">
        <v>2371</v>
      </c>
      <c r="L274" t="s">
        <v>1392</v>
      </c>
      <c r="M274" t="s">
        <v>1423</v>
      </c>
      <c r="N274" t="s">
        <v>1425</v>
      </c>
      <c r="O274" t="s">
        <v>1428</v>
      </c>
      <c r="P274" t="s">
        <v>1429</v>
      </c>
      <c r="Q274">
        <v>49</v>
      </c>
      <c r="R274" s="3">
        <v>8457780347139</v>
      </c>
      <c r="S274" s="3">
        <v>18457780347136</v>
      </c>
      <c r="T274" t="s">
        <v>1317</v>
      </c>
      <c r="U274" t="s">
        <v>2031</v>
      </c>
    </row>
    <row r="275" spans="1:21" x14ac:dyDescent="0.25">
      <c r="A275" t="s">
        <v>212</v>
      </c>
      <c r="B275" t="s">
        <v>2234</v>
      </c>
      <c r="C275" t="s">
        <v>2029</v>
      </c>
      <c r="D275" t="s">
        <v>2030</v>
      </c>
      <c r="E275" t="str">
        <f>+CONCATENATE(D275,". FABRICADO EN ",M275,". PUNTERA DE ",N275,". PLANTILLA ",O275,". SUELA DE ",P275)</f>
        <v>ZAPATO MF S1+P+CI+SRC+ESD Negro 50. FABRICADO EN MICROFIBRA ACABADO SERRAJE + REJILLA. PUNTERA DE Fibra de vidrio. PLANTILLA Antiperforación textil. SUELA DE PU/PU DOBLE DENSIDAD</v>
      </c>
      <c r="F275" t="str">
        <f>PROPER(E275)</f>
        <v>Zapato Mf S1+P+Ci+Src+Esd Negro 50. Fabricado En Microfibra Acabado Serraje + Rejilla. Puntera De Fibra De Vidrio. Plantilla Antiperforación Textil. Suela De Pu/Pu Doble Densidad</v>
      </c>
      <c r="G275" s="24">
        <f>VLOOKUP(B275,Tabla1[],2,0)</f>
        <v>24.56</v>
      </c>
      <c r="H275" s="24">
        <f>+G275/0.72</f>
        <v>34.111111111111107</v>
      </c>
      <c r="I275" s="24">
        <f>+H275*1.21</f>
        <v>41.274444444444441</v>
      </c>
      <c r="J275" s="24" t="s">
        <v>2359</v>
      </c>
      <c r="K275" s="24" t="s">
        <v>2371</v>
      </c>
      <c r="L275" t="s">
        <v>1392</v>
      </c>
      <c r="M275" t="s">
        <v>1423</v>
      </c>
      <c r="N275" t="s">
        <v>1425</v>
      </c>
      <c r="O275" t="s">
        <v>1428</v>
      </c>
      <c r="P275" t="s">
        <v>1429</v>
      </c>
      <c r="Q275">
        <v>50</v>
      </c>
      <c r="R275" s="3">
        <v>8457780347146</v>
      </c>
      <c r="S275" s="3">
        <v>18457780347143</v>
      </c>
      <c r="T275" t="s">
        <v>1317</v>
      </c>
      <c r="U275" t="s">
        <v>2032</v>
      </c>
    </row>
    <row r="276" spans="1:21" x14ac:dyDescent="0.25">
      <c r="A276" t="s">
        <v>227</v>
      </c>
      <c r="B276" t="s">
        <v>2235</v>
      </c>
      <c r="C276" t="s">
        <v>228</v>
      </c>
      <c r="D276" t="s">
        <v>1626</v>
      </c>
      <c r="E276" t="str">
        <f>+CONCATENATE(D276,". FABRICADO EN ",M276,". PUNTERA DE ",N276,". PLANTILLA ",O276,". SUELA DE ",P276)</f>
        <v>BOTA SOLDADOR PIEL S3+CI+HI+FO+SR Negra 36. FABRICADO EN PIEL GRABADA. PUNTERA DE Acero. PLANTILLA Acero. SUELA DE PU/PU DOBLE DENSIDAD</v>
      </c>
      <c r="F276" t="str">
        <f>PROPER(E276)</f>
        <v>Bota Soldador Piel S3+Ci+Hi+Fo+Sr Negra 36. Fabricado En Piel Grabada. Puntera De Acero. Plantilla Acero. Suela De Pu/Pu Doble Densidad</v>
      </c>
      <c r="G276" s="24">
        <f>VLOOKUP(B276,Tabla1[],2,0)</f>
        <v>10.9</v>
      </c>
      <c r="H276" s="24">
        <f>+G276/0.7</f>
        <v>15.571428571428573</v>
      </c>
      <c r="I276" s="24">
        <f>+H276*1.21</f>
        <v>18.841428571428573</v>
      </c>
      <c r="J276" s="24" t="s">
        <v>2326</v>
      </c>
      <c r="K276" s="24" t="s">
        <v>2365</v>
      </c>
      <c r="L276" t="s">
        <v>1392</v>
      </c>
      <c r="M276" t="s">
        <v>1415</v>
      </c>
      <c r="N276" t="s">
        <v>1426</v>
      </c>
      <c r="O276" t="s">
        <v>1426</v>
      </c>
      <c r="P276" t="s">
        <v>1429</v>
      </c>
      <c r="Q276">
        <v>36</v>
      </c>
      <c r="R276" s="2">
        <v>8457780268007</v>
      </c>
      <c r="S276" s="3" t="s">
        <v>892</v>
      </c>
      <c r="T276" s="1" t="s">
        <v>1352</v>
      </c>
      <c r="U276" t="s">
        <v>1353</v>
      </c>
    </row>
    <row r="277" spans="1:21" x14ac:dyDescent="0.25">
      <c r="A277" t="s">
        <v>227</v>
      </c>
      <c r="B277" t="s">
        <v>2235</v>
      </c>
      <c r="C277" t="s">
        <v>229</v>
      </c>
      <c r="D277" t="s">
        <v>1627</v>
      </c>
      <c r="E277" t="str">
        <f>+CONCATENATE(D277,". FABRICADO EN ",M277,". PUNTERA DE ",N277,". PLANTILLA ",O277,". SUELA DE ",P277)</f>
        <v>BOTA SOLDADOR PIEL S3+CI+HI+FO+SR Negra 37. FABRICADO EN PIEL GRABADA. PUNTERA DE Acero. PLANTILLA Acero. SUELA DE PU/PU DOBLE DENSIDAD</v>
      </c>
      <c r="F277" t="str">
        <f>PROPER(E277)</f>
        <v>Bota Soldador Piel S3+Ci+Hi+Fo+Sr Negra 37. Fabricado En Piel Grabada. Puntera De Acero. Plantilla Acero. Suela De Pu/Pu Doble Densidad</v>
      </c>
      <c r="G277" s="24">
        <f>VLOOKUP(B277,Tabla1[],2,0)</f>
        <v>10.9</v>
      </c>
      <c r="H277" s="24">
        <f>+G277/0.7</f>
        <v>15.571428571428573</v>
      </c>
      <c r="I277" s="24">
        <f>+H277*1.21</f>
        <v>18.841428571428573</v>
      </c>
      <c r="J277" s="24" t="s">
        <v>2326</v>
      </c>
      <c r="K277" s="24" t="s">
        <v>2365</v>
      </c>
      <c r="L277" t="s">
        <v>1392</v>
      </c>
      <c r="M277" t="s">
        <v>1415</v>
      </c>
      <c r="N277" t="s">
        <v>1426</v>
      </c>
      <c r="O277" t="s">
        <v>1426</v>
      </c>
      <c r="P277" t="s">
        <v>1429</v>
      </c>
      <c r="Q277">
        <v>37</v>
      </c>
      <c r="R277" s="2">
        <v>8457780268014</v>
      </c>
      <c r="S277" s="3" t="s">
        <v>893</v>
      </c>
      <c r="T277" s="1" t="s">
        <v>1352</v>
      </c>
      <c r="U277" t="s">
        <v>1353</v>
      </c>
    </row>
    <row r="278" spans="1:21" x14ac:dyDescent="0.25">
      <c r="A278" t="s">
        <v>227</v>
      </c>
      <c r="B278" t="s">
        <v>2235</v>
      </c>
      <c r="C278" t="s">
        <v>230</v>
      </c>
      <c r="D278" t="s">
        <v>1628</v>
      </c>
      <c r="E278" t="str">
        <f>+CONCATENATE(D278,". FABRICADO EN ",M278,". PUNTERA DE ",N278,". PLANTILLA ",O278,". SUELA DE ",P278)</f>
        <v>BOTA SOLDADOR PIEL S3+CI+HI+FO+SR Negra 38. FABRICADO EN PIEL GRABADA. PUNTERA DE Acero. PLANTILLA Acero. SUELA DE PU/PU DOBLE DENSIDAD</v>
      </c>
      <c r="F278" t="str">
        <f>PROPER(E278)</f>
        <v>Bota Soldador Piel S3+Ci+Hi+Fo+Sr Negra 38. Fabricado En Piel Grabada. Puntera De Acero. Plantilla Acero. Suela De Pu/Pu Doble Densidad</v>
      </c>
      <c r="G278" s="24">
        <f>VLOOKUP(B278,Tabla1[],2,0)</f>
        <v>10.9</v>
      </c>
      <c r="H278" s="24">
        <f>+G278/0.7</f>
        <v>15.571428571428573</v>
      </c>
      <c r="I278" s="24">
        <f>+H278*1.21</f>
        <v>18.841428571428573</v>
      </c>
      <c r="J278" s="24" t="s">
        <v>2326</v>
      </c>
      <c r="K278" s="24" t="s">
        <v>2365</v>
      </c>
      <c r="L278" t="s">
        <v>1392</v>
      </c>
      <c r="M278" t="s">
        <v>1415</v>
      </c>
      <c r="N278" t="s">
        <v>1426</v>
      </c>
      <c r="O278" t="s">
        <v>1426</v>
      </c>
      <c r="P278" t="s">
        <v>1429</v>
      </c>
      <c r="Q278">
        <v>38</v>
      </c>
      <c r="R278" s="2">
        <v>8457780268021</v>
      </c>
      <c r="S278" s="3" t="s">
        <v>894</v>
      </c>
      <c r="T278" s="1" t="s">
        <v>1352</v>
      </c>
      <c r="U278" t="s">
        <v>1353</v>
      </c>
    </row>
    <row r="279" spans="1:21" x14ac:dyDescent="0.25">
      <c r="A279" t="s">
        <v>227</v>
      </c>
      <c r="B279" t="s">
        <v>2235</v>
      </c>
      <c r="C279" t="s">
        <v>231</v>
      </c>
      <c r="D279" t="s">
        <v>1629</v>
      </c>
      <c r="E279" t="str">
        <f>+CONCATENATE(D279,". FABRICADO EN ",M279,". PUNTERA DE ",N279,". PLANTILLA ",O279,". SUELA DE ",P279)</f>
        <v>BOTA SOLDADOR PIEL S3+CI+HI+FO+SR Negra 39. FABRICADO EN PIEL GRABADA. PUNTERA DE Acero. PLANTILLA Acero. SUELA DE PU/PU DOBLE DENSIDAD</v>
      </c>
      <c r="F279" t="str">
        <f>PROPER(E279)</f>
        <v>Bota Soldador Piel S3+Ci+Hi+Fo+Sr Negra 39. Fabricado En Piel Grabada. Puntera De Acero. Plantilla Acero. Suela De Pu/Pu Doble Densidad</v>
      </c>
      <c r="G279" s="24">
        <f>VLOOKUP(B279,Tabla1[],2,0)</f>
        <v>10.9</v>
      </c>
      <c r="H279" s="24">
        <f>+G279/0.7</f>
        <v>15.571428571428573</v>
      </c>
      <c r="I279" s="24">
        <f>+H279*1.21</f>
        <v>18.841428571428573</v>
      </c>
      <c r="J279" s="24" t="s">
        <v>2326</v>
      </c>
      <c r="K279" s="24" t="s">
        <v>2365</v>
      </c>
      <c r="L279" t="s">
        <v>1392</v>
      </c>
      <c r="M279" t="s">
        <v>1415</v>
      </c>
      <c r="N279" t="s">
        <v>1426</v>
      </c>
      <c r="O279" t="s">
        <v>1426</v>
      </c>
      <c r="P279" t="s">
        <v>1429</v>
      </c>
      <c r="Q279">
        <v>39</v>
      </c>
      <c r="R279" s="2">
        <v>8457780268038</v>
      </c>
      <c r="S279" s="3" t="s">
        <v>895</v>
      </c>
      <c r="T279" s="1" t="s">
        <v>1352</v>
      </c>
      <c r="U279" t="s">
        <v>1353</v>
      </c>
    </row>
    <row r="280" spans="1:21" x14ac:dyDescent="0.25">
      <c r="A280" t="s">
        <v>227</v>
      </c>
      <c r="B280" t="s">
        <v>2235</v>
      </c>
      <c r="C280" t="s">
        <v>232</v>
      </c>
      <c r="D280" t="s">
        <v>1630</v>
      </c>
      <c r="E280" t="str">
        <f>+CONCATENATE(D280,". FABRICADO EN ",M280,". PUNTERA DE ",N280,". PLANTILLA ",O280,". SUELA DE ",P280)</f>
        <v>BOTA SOLDADOR PIEL S3+CI+HI+FO+SR Negra 40. FABRICADO EN PIEL GRABADA. PUNTERA DE Acero. PLANTILLA Acero. SUELA DE PU/PU DOBLE DENSIDAD</v>
      </c>
      <c r="F280" t="str">
        <f>PROPER(E280)</f>
        <v>Bota Soldador Piel S3+Ci+Hi+Fo+Sr Negra 40. Fabricado En Piel Grabada. Puntera De Acero. Plantilla Acero. Suela De Pu/Pu Doble Densidad</v>
      </c>
      <c r="G280" s="24">
        <f>VLOOKUP(B280,Tabla1[],2,0)</f>
        <v>10.9</v>
      </c>
      <c r="H280" s="24">
        <f>+G280/0.7</f>
        <v>15.571428571428573</v>
      </c>
      <c r="I280" s="24">
        <f>+H280*1.21</f>
        <v>18.841428571428573</v>
      </c>
      <c r="J280" s="24" t="s">
        <v>2326</v>
      </c>
      <c r="K280" s="24" t="s">
        <v>2365</v>
      </c>
      <c r="L280" t="s">
        <v>1392</v>
      </c>
      <c r="M280" t="s">
        <v>1415</v>
      </c>
      <c r="N280" t="s">
        <v>1426</v>
      </c>
      <c r="O280" t="s">
        <v>1426</v>
      </c>
      <c r="P280" t="s">
        <v>1429</v>
      </c>
      <c r="Q280">
        <v>40</v>
      </c>
      <c r="R280" s="2">
        <v>8457780268045</v>
      </c>
      <c r="S280" s="3" t="s">
        <v>896</v>
      </c>
      <c r="T280" s="1" t="s">
        <v>1352</v>
      </c>
      <c r="U280" t="s">
        <v>1353</v>
      </c>
    </row>
    <row r="281" spans="1:21" x14ac:dyDescent="0.25">
      <c r="A281" t="s">
        <v>227</v>
      </c>
      <c r="B281" t="s">
        <v>2235</v>
      </c>
      <c r="C281" t="s">
        <v>233</v>
      </c>
      <c r="D281" t="s">
        <v>1631</v>
      </c>
      <c r="E281" t="str">
        <f>+CONCATENATE(D281,". FABRICADO EN ",M281,". PUNTERA DE ",N281,". PLANTILLA ",O281,". SUELA DE ",P281)</f>
        <v>BOTA SOLDADOR PIEL S3+CI+HI+FO+SR Negra 41. FABRICADO EN PIEL GRABADA. PUNTERA DE Acero. PLANTILLA Acero. SUELA DE PU/PU DOBLE DENSIDAD</v>
      </c>
      <c r="F281" t="str">
        <f>PROPER(E281)</f>
        <v>Bota Soldador Piel S3+Ci+Hi+Fo+Sr Negra 41. Fabricado En Piel Grabada. Puntera De Acero. Plantilla Acero. Suela De Pu/Pu Doble Densidad</v>
      </c>
      <c r="G281" s="24">
        <f>VLOOKUP(B281,Tabla1[],2,0)</f>
        <v>10.9</v>
      </c>
      <c r="H281" s="24">
        <f>+G281/0.7</f>
        <v>15.571428571428573</v>
      </c>
      <c r="I281" s="24">
        <f>+H281*1.21</f>
        <v>18.841428571428573</v>
      </c>
      <c r="J281" s="24" t="s">
        <v>2326</v>
      </c>
      <c r="K281" s="24" t="s">
        <v>2365</v>
      </c>
      <c r="L281" t="s">
        <v>1392</v>
      </c>
      <c r="M281" t="s">
        <v>1415</v>
      </c>
      <c r="N281" t="s">
        <v>1426</v>
      </c>
      <c r="O281" t="s">
        <v>1426</v>
      </c>
      <c r="P281" t="s">
        <v>1429</v>
      </c>
      <c r="Q281">
        <v>41</v>
      </c>
      <c r="R281" s="2">
        <v>8457780268052</v>
      </c>
      <c r="S281" s="3" t="s">
        <v>897</v>
      </c>
      <c r="T281" s="1" t="s">
        <v>1352</v>
      </c>
      <c r="U281" t="s">
        <v>1353</v>
      </c>
    </row>
    <row r="282" spans="1:21" x14ac:dyDescent="0.25">
      <c r="A282" t="s">
        <v>227</v>
      </c>
      <c r="B282" t="s">
        <v>2235</v>
      </c>
      <c r="C282" t="s">
        <v>234</v>
      </c>
      <c r="D282" t="s">
        <v>1632</v>
      </c>
      <c r="E282" t="str">
        <f>+CONCATENATE(D282,". FABRICADO EN ",M282,". PUNTERA DE ",N282,". PLANTILLA ",O282,". SUELA DE ",P282)</f>
        <v>BOTA SOLDADOR PIEL S3+CI+HI+FO+SR Negra 42. FABRICADO EN PIEL GRABADA. PUNTERA DE Acero. PLANTILLA Acero. SUELA DE PU/PU DOBLE DENSIDAD</v>
      </c>
      <c r="F282" t="str">
        <f>PROPER(E282)</f>
        <v>Bota Soldador Piel S3+Ci+Hi+Fo+Sr Negra 42. Fabricado En Piel Grabada. Puntera De Acero. Plantilla Acero. Suela De Pu/Pu Doble Densidad</v>
      </c>
      <c r="G282" s="24">
        <f>VLOOKUP(B282,Tabla1[],2,0)</f>
        <v>10.9</v>
      </c>
      <c r="H282" s="24">
        <f>+G282/0.7</f>
        <v>15.571428571428573</v>
      </c>
      <c r="I282" s="24">
        <f>+H282*1.21</f>
        <v>18.841428571428573</v>
      </c>
      <c r="J282" s="24" t="s">
        <v>2326</v>
      </c>
      <c r="K282" s="24" t="s">
        <v>2365</v>
      </c>
      <c r="L282" t="s">
        <v>1392</v>
      </c>
      <c r="M282" t="s">
        <v>1415</v>
      </c>
      <c r="N282" t="s">
        <v>1426</v>
      </c>
      <c r="O282" t="s">
        <v>1426</v>
      </c>
      <c r="P282" t="s">
        <v>1429</v>
      </c>
      <c r="Q282">
        <v>42</v>
      </c>
      <c r="R282" s="2">
        <v>8457780268069</v>
      </c>
      <c r="S282" s="3" t="s">
        <v>898</v>
      </c>
      <c r="T282" s="1" t="s">
        <v>1352</v>
      </c>
      <c r="U282" t="s">
        <v>1353</v>
      </c>
    </row>
    <row r="283" spans="1:21" x14ac:dyDescent="0.25">
      <c r="A283" t="s">
        <v>227</v>
      </c>
      <c r="B283" t="s">
        <v>2235</v>
      </c>
      <c r="C283" t="s">
        <v>235</v>
      </c>
      <c r="D283" t="s">
        <v>1633</v>
      </c>
      <c r="E283" t="str">
        <f>+CONCATENATE(D283,". FABRICADO EN ",M283,". PUNTERA DE ",N283,". PLANTILLA ",O283,". SUELA DE ",P283)</f>
        <v>BOTA SOLDADOR PIEL S3+CI+HI+FO+SR Negra 43. FABRICADO EN PIEL GRABADA. PUNTERA DE Acero. PLANTILLA Acero. SUELA DE PU/PU DOBLE DENSIDAD</v>
      </c>
      <c r="F283" t="str">
        <f>PROPER(E283)</f>
        <v>Bota Soldador Piel S3+Ci+Hi+Fo+Sr Negra 43. Fabricado En Piel Grabada. Puntera De Acero. Plantilla Acero. Suela De Pu/Pu Doble Densidad</v>
      </c>
      <c r="G283" s="24">
        <f>VLOOKUP(B283,Tabla1[],2,0)</f>
        <v>10.9</v>
      </c>
      <c r="H283" s="24">
        <f>+G283/0.7</f>
        <v>15.571428571428573</v>
      </c>
      <c r="I283" s="24">
        <f>+H283*1.21</f>
        <v>18.841428571428573</v>
      </c>
      <c r="J283" s="24" t="s">
        <v>2326</v>
      </c>
      <c r="K283" s="24" t="s">
        <v>2365</v>
      </c>
      <c r="L283" t="s">
        <v>1392</v>
      </c>
      <c r="M283" t="s">
        <v>1415</v>
      </c>
      <c r="N283" t="s">
        <v>1426</v>
      </c>
      <c r="O283" t="s">
        <v>1426</v>
      </c>
      <c r="P283" t="s">
        <v>1429</v>
      </c>
      <c r="Q283">
        <v>43</v>
      </c>
      <c r="R283" s="2">
        <v>8457780268076</v>
      </c>
      <c r="S283" s="3" t="s">
        <v>899</v>
      </c>
      <c r="T283" s="1" t="s">
        <v>1352</v>
      </c>
      <c r="U283" t="s">
        <v>1353</v>
      </c>
    </row>
    <row r="284" spans="1:21" x14ac:dyDescent="0.25">
      <c r="A284" t="s">
        <v>227</v>
      </c>
      <c r="B284" t="s">
        <v>2235</v>
      </c>
      <c r="C284" t="s">
        <v>236</v>
      </c>
      <c r="D284" t="s">
        <v>1634</v>
      </c>
      <c r="E284" t="str">
        <f>+CONCATENATE(D284,". FABRICADO EN ",M284,". PUNTERA DE ",N284,". PLANTILLA ",O284,". SUELA DE ",P284)</f>
        <v>BOTA SOLDADOR PIEL S3+CI+HI+FO+SR Negra 44. FABRICADO EN PIEL GRABADA. PUNTERA DE Acero. PLANTILLA Acero. SUELA DE PU/PU DOBLE DENSIDAD</v>
      </c>
      <c r="F284" t="str">
        <f>PROPER(E284)</f>
        <v>Bota Soldador Piel S3+Ci+Hi+Fo+Sr Negra 44. Fabricado En Piel Grabada. Puntera De Acero. Plantilla Acero. Suela De Pu/Pu Doble Densidad</v>
      </c>
      <c r="G284" s="24">
        <f>VLOOKUP(B284,Tabla1[],2,0)</f>
        <v>10.9</v>
      </c>
      <c r="H284" s="24">
        <f>+G284/0.7</f>
        <v>15.571428571428573</v>
      </c>
      <c r="I284" s="24">
        <f>+H284*1.21</f>
        <v>18.841428571428573</v>
      </c>
      <c r="J284" s="24" t="s">
        <v>2326</v>
      </c>
      <c r="K284" s="24" t="s">
        <v>2365</v>
      </c>
      <c r="L284" t="s">
        <v>1392</v>
      </c>
      <c r="M284" t="s">
        <v>1415</v>
      </c>
      <c r="N284" t="s">
        <v>1426</v>
      </c>
      <c r="O284" t="s">
        <v>1426</v>
      </c>
      <c r="P284" t="s">
        <v>1429</v>
      </c>
      <c r="Q284">
        <v>44</v>
      </c>
      <c r="R284" s="2">
        <v>8457780268083</v>
      </c>
      <c r="S284" s="3" t="s">
        <v>900</v>
      </c>
      <c r="T284" s="1" t="s">
        <v>1352</v>
      </c>
      <c r="U284" t="s">
        <v>1353</v>
      </c>
    </row>
    <row r="285" spans="1:21" x14ac:dyDescent="0.25">
      <c r="A285" t="s">
        <v>227</v>
      </c>
      <c r="B285" t="s">
        <v>2235</v>
      </c>
      <c r="C285" t="s">
        <v>237</v>
      </c>
      <c r="D285" t="s">
        <v>1635</v>
      </c>
      <c r="E285" t="str">
        <f>+CONCATENATE(D285,". FABRICADO EN ",M285,". PUNTERA DE ",N285,". PLANTILLA ",O285,". SUELA DE ",P285)</f>
        <v>BOTA SOLDADOR PIEL S3+CI+HI+FO+SR Negra 45. FABRICADO EN PIEL GRABADA. PUNTERA DE Acero. PLANTILLA Acero. SUELA DE PU/PU DOBLE DENSIDAD</v>
      </c>
      <c r="F285" t="str">
        <f>PROPER(E285)</f>
        <v>Bota Soldador Piel S3+Ci+Hi+Fo+Sr Negra 45. Fabricado En Piel Grabada. Puntera De Acero. Plantilla Acero. Suela De Pu/Pu Doble Densidad</v>
      </c>
      <c r="G285" s="24">
        <f>VLOOKUP(B285,Tabla1[],2,0)</f>
        <v>10.9</v>
      </c>
      <c r="H285" s="24">
        <f>+G285/0.7</f>
        <v>15.571428571428573</v>
      </c>
      <c r="I285" s="24">
        <f>+H285*1.21</f>
        <v>18.841428571428573</v>
      </c>
      <c r="J285" s="24" t="s">
        <v>2326</v>
      </c>
      <c r="K285" s="24" t="s">
        <v>2365</v>
      </c>
      <c r="L285" t="s">
        <v>1392</v>
      </c>
      <c r="M285" t="s">
        <v>1415</v>
      </c>
      <c r="N285" t="s">
        <v>1426</v>
      </c>
      <c r="O285" t="s">
        <v>1426</v>
      </c>
      <c r="P285" t="s">
        <v>1429</v>
      </c>
      <c r="Q285">
        <v>45</v>
      </c>
      <c r="R285" s="2">
        <v>8457780268090</v>
      </c>
      <c r="S285" s="3" t="s">
        <v>901</v>
      </c>
      <c r="T285" s="1" t="s">
        <v>1352</v>
      </c>
      <c r="U285" t="s">
        <v>1353</v>
      </c>
    </row>
    <row r="286" spans="1:21" x14ac:dyDescent="0.25">
      <c r="A286" t="s">
        <v>227</v>
      </c>
      <c r="B286" t="s">
        <v>2235</v>
      </c>
      <c r="C286" t="s">
        <v>238</v>
      </c>
      <c r="D286" t="s">
        <v>1636</v>
      </c>
      <c r="E286" t="str">
        <f>+CONCATENATE(D286,". FABRICADO EN ",M286,". PUNTERA DE ",N286,". PLANTILLA ",O286,". SUELA DE ",P286)</f>
        <v>BOTA SOLDADOR PIEL S3+CI+HI+FO+SR Negra 46. FABRICADO EN PIEL GRABADA. PUNTERA DE Acero. PLANTILLA Acero. SUELA DE PU/PU DOBLE DENSIDAD</v>
      </c>
      <c r="F286" t="str">
        <f>PROPER(E286)</f>
        <v>Bota Soldador Piel S3+Ci+Hi+Fo+Sr Negra 46. Fabricado En Piel Grabada. Puntera De Acero. Plantilla Acero. Suela De Pu/Pu Doble Densidad</v>
      </c>
      <c r="G286" s="24">
        <f>VLOOKUP(B286,Tabla1[],2,0)</f>
        <v>10.9</v>
      </c>
      <c r="H286" s="24">
        <f>+G286/0.7</f>
        <v>15.571428571428573</v>
      </c>
      <c r="I286" s="24">
        <f>+H286*1.21</f>
        <v>18.841428571428573</v>
      </c>
      <c r="J286" s="24" t="s">
        <v>2326</v>
      </c>
      <c r="K286" s="24" t="s">
        <v>2365</v>
      </c>
      <c r="L286" t="s">
        <v>1392</v>
      </c>
      <c r="M286" t="s">
        <v>1415</v>
      </c>
      <c r="N286" t="s">
        <v>1426</v>
      </c>
      <c r="O286" t="s">
        <v>1426</v>
      </c>
      <c r="P286" t="s">
        <v>1429</v>
      </c>
      <c r="Q286">
        <v>46</v>
      </c>
      <c r="R286" s="2">
        <v>8457780268106</v>
      </c>
      <c r="S286" s="3" t="s">
        <v>902</v>
      </c>
      <c r="T286" s="1" t="s">
        <v>1352</v>
      </c>
      <c r="U286" t="s">
        <v>1353</v>
      </c>
    </row>
    <row r="287" spans="1:21" x14ac:dyDescent="0.25">
      <c r="A287" t="s">
        <v>227</v>
      </c>
      <c r="B287" t="s">
        <v>2235</v>
      </c>
      <c r="C287" t="s">
        <v>239</v>
      </c>
      <c r="D287" t="s">
        <v>1637</v>
      </c>
      <c r="E287" t="str">
        <f>+CONCATENATE(D287,". FABRICADO EN ",M287,". PUNTERA DE ",N287,". PLANTILLA ",O287,". SUELA DE ",P287)</f>
        <v>BOTA SOLDADOR PIEL S3+CI+HI+FO+SR Negra 47. FABRICADO EN PIEL GRABADA. PUNTERA DE Acero. PLANTILLA Acero. SUELA DE PU/PU DOBLE DENSIDAD</v>
      </c>
      <c r="F287" t="str">
        <f>PROPER(E287)</f>
        <v>Bota Soldador Piel S3+Ci+Hi+Fo+Sr Negra 47. Fabricado En Piel Grabada. Puntera De Acero. Plantilla Acero. Suela De Pu/Pu Doble Densidad</v>
      </c>
      <c r="G287" s="24">
        <f>VLOOKUP(B287,Tabla1[],2,0)</f>
        <v>10.9</v>
      </c>
      <c r="H287" s="24">
        <f>+G287/0.7</f>
        <v>15.571428571428573</v>
      </c>
      <c r="I287" s="24">
        <f>+H287*1.21</f>
        <v>18.841428571428573</v>
      </c>
      <c r="J287" s="24" t="s">
        <v>2326</v>
      </c>
      <c r="K287" s="24" t="s">
        <v>2365</v>
      </c>
      <c r="L287" t="s">
        <v>1392</v>
      </c>
      <c r="M287" t="s">
        <v>1415</v>
      </c>
      <c r="N287" t="s">
        <v>1426</v>
      </c>
      <c r="O287" t="s">
        <v>1426</v>
      </c>
      <c r="P287" t="s">
        <v>1429</v>
      </c>
      <c r="Q287">
        <v>47</v>
      </c>
      <c r="R287" s="2">
        <v>8457780268113</v>
      </c>
      <c r="S287" s="3" t="s">
        <v>903</v>
      </c>
      <c r="T287" s="1" t="s">
        <v>1352</v>
      </c>
      <c r="U287" t="s">
        <v>1353</v>
      </c>
    </row>
    <row r="288" spans="1:21" x14ac:dyDescent="0.25">
      <c r="A288" t="s">
        <v>240</v>
      </c>
      <c r="B288" t="s">
        <v>2236</v>
      </c>
      <c r="C288" t="s">
        <v>241</v>
      </c>
      <c r="D288" t="s">
        <v>1638</v>
      </c>
      <c r="E288" t="str">
        <f>+CONCATENATE(D288,". FABRICADO EN ",M288,". PUNTERA DE ",N288,". PLANTILLA ",O288,". SUELA DE ",P288)</f>
        <v>ZAPATO MF O2+FO+SR Blanco 35. FABRICADO EN MICROFIBRA. PUNTERA DE No lleva. PLANTILLA No lleva. SUELA DE EVA/CAUCHO-NITRILO</v>
      </c>
      <c r="F288" t="str">
        <f>PROPER(E288)</f>
        <v>Zapato Mf O2+Fo+Sr Blanco 35. Fabricado En Microfibra. Puntera De No Lleva. Plantilla No Lleva. Suela De Eva/Caucho-Nitrilo</v>
      </c>
      <c r="G288" s="24">
        <v>29.56</v>
      </c>
      <c r="H288" s="24">
        <f>+G288/0.72</f>
        <v>41.055555555555557</v>
      </c>
      <c r="I288" s="24">
        <f>+H288*1.21</f>
        <v>49.67722222222222</v>
      </c>
      <c r="J288" s="24" t="s">
        <v>2361</v>
      </c>
      <c r="K288" s="24" t="s">
        <v>2373</v>
      </c>
      <c r="L288" t="s">
        <v>1400</v>
      </c>
      <c r="M288" t="s">
        <v>1407</v>
      </c>
      <c r="N288" t="s">
        <v>1427</v>
      </c>
      <c r="O288" t="s">
        <v>1427</v>
      </c>
      <c r="P288" t="s">
        <v>1431</v>
      </c>
      <c r="Q288">
        <v>35</v>
      </c>
      <c r="R288" s="2">
        <v>8457780315541</v>
      </c>
      <c r="S288" s="3" t="s">
        <v>904</v>
      </c>
      <c r="T288" t="s">
        <v>1373</v>
      </c>
      <c r="U288" t="s">
        <v>1374</v>
      </c>
    </row>
    <row r="289" spans="1:21" x14ac:dyDescent="0.25">
      <c r="A289" t="s">
        <v>240</v>
      </c>
      <c r="B289" t="s">
        <v>2236</v>
      </c>
      <c r="C289" t="s">
        <v>242</v>
      </c>
      <c r="D289" t="s">
        <v>1639</v>
      </c>
      <c r="E289" t="str">
        <f>+CONCATENATE(D289,". FABRICADO EN ",M289,". PUNTERA DE ",N289,". PLANTILLA ",O289,". SUELA DE ",P289)</f>
        <v>ZAPATO MF O2+FO+SR Blanco 36. FABRICADO EN MICROFIBRA. PUNTERA DE No lleva. PLANTILLA No lleva. SUELA DE EVA/CAUCHO-NITRILO</v>
      </c>
      <c r="F289" t="str">
        <f>PROPER(E289)</f>
        <v>Zapato Mf O2+Fo+Sr Blanco 36. Fabricado En Microfibra. Puntera De No Lleva. Plantilla No Lleva. Suela De Eva/Caucho-Nitrilo</v>
      </c>
      <c r="G289" s="24">
        <v>29.56</v>
      </c>
      <c r="H289" s="24">
        <f>+G289/0.72</f>
        <v>41.055555555555557</v>
      </c>
      <c r="I289" s="24">
        <f>+H289*1.21</f>
        <v>49.67722222222222</v>
      </c>
      <c r="J289" s="24" t="s">
        <v>2361</v>
      </c>
      <c r="K289" s="24" t="s">
        <v>2373</v>
      </c>
      <c r="L289" t="s">
        <v>1400</v>
      </c>
      <c r="M289" t="s">
        <v>1407</v>
      </c>
      <c r="N289" t="s">
        <v>1427</v>
      </c>
      <c r="O289" t="s">
        <v>1427</v>
      </c>
      <c r="P289" t="s">
        <v>1431</v>
      </c>
      <c r="Q289">
        <v>36</v>
      </c>
      <c r="R289" s="2">
        <v>8457780315558</v>
      </c>
      <c r="S289" s="3" t="s">
        <v>905</v>
      </c>
      <c r="T289" t="s">
        <v>1373</v>
      </c>
      <c r="U289" t="s">
        <v>1374</v>
      </c>
    </row>
    <row r="290" spans="1:21" x14ac:dyDescent="0.25">
      <c r="A290" t="s">
        <v>240</v>
      </c>
      <c r="B290" t="s">
        <v>2236</v>
      </c>
      <c r="C290" t="s">
        <v>243</v>
      </c>
      <c r="D290" t="s">
        <v>1640</v>
      </c>
      <c r="E290" t="str">
        <f>+CONCATENATE(D290,". FABRICADO EN ",M290,". PUNTERA DE ",N290,". PLANTILLA ",O290,". SUELA DE ",P290)</f>
        <v>ZAPATO MF O2+FO+SR Blanco 37. FABRICADO EN MICROFIBRA. PUNTERA DE No lleva. PLANTILLA No lleva. SUELA DE EVA/CAUCHO-NITRILO</v>
      </c>
      <c r="F290" t="str">
        <f>PROPER(E290)</f>
        <v>Zapato Mf O2+Fo+Sr Blanco 37. Fabricado En Microfibra. Puntera De No Lleva. Plantilla No Lleva. Suela De Eva/Caucho-Nitrilo</v>
      </c>
      <c r="G290" s="24">
        <v>29.56</v>
      </c>
      <c r="H290" s="24">
        <f>+G290/0.72</f>
        <v>41.055555555555557</v>
      </c>
      <c r="I290" s="24">
        <f>+H290*1.21</f>
        <v>49.67722222222222</v>
      </c>
      <c r="J290" s="24" t="s">
        <v>2361</v>
      </c>
      <c r="K290" s="24" t="s">
        <v>2373</v>
      </c>
      <c r="L290" t="s">
        <v>1400</v>
      </c>
      <c r="M290" t="s">
        <v>1407</v>
      </c>
      <c r="N290" t="s">
        <v>1427</v>
      </c>
      <c r="O290" t="s">
        <v>1427</v>
      </c>
      <c r="P290" t="s">
        <v>1431</v>
      </c>
      <c r="Q290">
        <v>37</v>
      </c>
      <c r="R290" s="2">
        <v>8457780315565</v>
      </c>
      <c r="S290" s="3" t="s">
        <v>906</v>
      </c>
      <c r="T290" t="s">
        <v>1373</v>
      </c>
      <c r="U290" t="s">
        <v>1374</v>
      </c>
    </row>
    <row r="291" spans="1:21" x14ac:dyDescent="0.25">
      <c r="A291" t="s">
        <v>240</v>
      </c>
      <c r="B291" t="s">
        <v>2236</v>
      </c>
      <c r="C291" t="s">
        <v>244</v>
      </c>
      <c r="D291" t="s">
        <v>1641</v>
      </c>
      <c r="E291" t="str">
        <f>+CONCATENATE(D291,". FABRICADO EN ",M291,". PUNTERA DE ",N291,". PLANTILLA ",O291,". SUELA DE ",P291)</f>
        <v>ZAPATO MF O2+FO+SR Blanco 38. FABRICADO EN MICROFIBRA. PUNTERA DE No lleva. PLANTILLA No lleva. SUELA DE EVA/CAUCHO-NITRILO</v>
      </c>
      <c r="F291" t="str">
        <f>PROPER(E291)</f>
        <v>Zapato Mf O2+Fo+Sr Blanco 38. Fabricado En Microfibra. Puntera De No Lleva. Plantilla No Lleva. Suela De Eva/Caucho-Nitrilo</v>
      </c>
      <c r="G291" s="24">
        <v>29.56</v>
      </c>
      <c r="H291" s="24">
        <f>+G291/0.72</f>
        <v>41.055555555555557</v>
      </c>
      <c r="I291" s="24">
        <f>+H291*1.21</f>
        <v>49.67722222222222</v>
      </c>
      <c r="J291" s="24" t="s">
        <v>2361</v>
      </c>
      <c r="K291" s="24" t="s">
        <v>2373</v>
      </c>
      <c r="L291" t="s">
        <v>1400</v>
      </c>
      <c r="M291" t="s">
        <v>1407</v>
      </c>
      <c r="N291" t="s">
        <v>1427</v>
      </c>
      <c r="O291" t="s">
        <v>1427</v>
      </c>
      <c r="P291" t="s">
        <v>1431</v>
      </c>
      <c r="Q291">
        <v>38</v>
      </c>
      <c r="R291" s="2">
        <v>8457780315572</v>
      </c>
      <c r="S291" s="3" t="s">
        <v>907</v>
      </c>
      <c r="T291" t="s">
        <v>1373</v>
      </c>
      <c r="U291" t="s">
        <v>1374</v>
      </c>
    </row>
    <row r="292" spans="1:21" x14ac:dyDescent="0.25">
      <c r="A292" t="s">
        <v>240</v>
      </c>
      <c r="B292" t="s">
        <v>2236</v>
      </c>
      <c r="C292" t="s">
        <v>245</v>
      </c>
      <c r="D292" t="s">
        <v>1642</v>
      </c>
      <c r="E292" t="str">
        <f>+CONCATENATE(D292,". FABRICADO EN ",M292,". PUNTERA DE ",N292,". PLANTILLA ",O292,". SUELA DE ",P292)</f>
        <v>ZAPATO MF O2+FO+SR Blanco 39. FABRICADO EN MICROFIBRA. PUNTERA DE No lleva. PLANTILLA No lleva. SUELA DE EVA/CAUCHO-NITRILO</v>
      </c>
      <c r="F292" t="str">
        <f>PROPER(E292)</f>
        <v>Zapato Mf O2+Fo+Sr Blanco 39. Fabricado En Microfibra. Puntera De No Lleva. Plantilla No Lleva. Suela De Eva/Caucho-Nitrilo</v>
      </c>
      <c r="G292" s="24">
        <v>29.56</v>
      </c>
      <c r="H292" s="24">
        <f>+G292/0.72</f>
        <v>41.055555555555557</v>
      </c>
      <c r="I292" s="24">
        <f>+H292*1.21</f>
        <v>49.67722222222222</v>
      </c>
      <c r="J292" s="24" t="s">
        <v>2361</v>
      </c>
      <c r="K292" s="24" t="s">
        <v>2373</v>
      </c>
      <c r="L292" t="s">
        <v>1400</v>
      </c>
      <c r="M292" t="s">
        <v>1407</v>
      </c>
      <c r="N292" t="s">
        <v>1427</v>
      </c>
      <c r="O292" t="s">
        <v>1427</v>
      </c>
      <c r="P292" t="s">
        <v>1431</v>
      </c>
      <c r="Q292">
        <v>39</v>
      </c>
      <c r="R292" s="2">
        <v>8457780315589</v>
      </c>
      <c r="S292" s="3" t="s">
        <v>908</v>
      </c>
      <c r="T292" t="s">
        <v>1373</v>
      </c>
      <c r="U292" t="s">
        <v>1374</v>
      </c>
    </row>
    <row r="293" spans="1:21" x14ac:dyDescent="0.25">
      <c r="A293" t="s">
        <v>240</v>
      </c>
      <c r="B293" t="s">
        <v>2236</v>
      </c>
      <c r="C293" t="s">
        <v>246</v>
      </c>
      <c r="D293" t="s">
        <v>1643</v>
      </c>
      <c r="E293" t="str">
        <f>+CONCATENATE(D293,". FABRICADO EN ",M293,". PUNTERA DE ",N293,". PLANTILLA ",O293,". SUELA DE ",P293)</f>
        <v>ZAPATO MF O2+FO+SR Blanco 40. FABRICADO EN MICROFIBRA. PUNTERA DE No lleva. PLANTILLA No lleva. SUELA DE EVA/CAUCHO-NITRILO</v>
      </c>
      <c r="F293" t="str">
        <f>PROPER(E293)</f>
        <v>Zapato Mf O2+Fo+Sr Blanco 40. Fabricado En Microfibra. Puntera De No Lleva. Plantilla No Lleva. Suela De Eva/Caucho-Nitrilo</v>
      </c>
      <c r="G293" s="24">
        <v>29.56</v>
      </c>
      <c r="H293" s="24">
        <f>+G293/0.72</f>
        <v>41.055555555555557</v>
      </c>
      <c r="I293" s="24">
        <f>+H293*1.21</f>
        <v>49.67722222222222</v>
      </c>
      <c r="J293" s="24" t="s">
        <v>2361</v>
      </c>
      <c r="K293" s="24" t="s">
        <v>2373</v>
      </c>
      <c r="L293" t="s">
        <v>1400</v>
      </c>
      <c r="M293" t="s">
        <v>1407</v>
      </c>
      <c r="N293" t="s">
        <v>1427</v>
      </c>
      <c r="O293" t="s">
        <v>1427</v>
      </c>
      <c r="P293" t="s">
        <v>1431</v>
      </c>
      <c r="Q293">
        <v>40</v>
      </c>
      <c r="R293" s="2">
        <v>8457780315596</v>
      </c>
      <c r="S293" s="3" t="s">
        <v>909</v>
      </c>
      <c r="T293" t="s">
        <v>1373</v>
      </c>
      <c r="U293" t="s">
        <v>1374</v>
      </c>
    </row>
    <row r="294" spans="1:21" x14ac:dyDescent="0.25">
      <c r="A294" t="s">
        <v>240</v>
      </c>
      <c r="B294" t="s">
        <v>2236</v>
      </c>
      <c r="C294" t="s">
        <v>247</v>
      </c>
      <c r="D294" t="s">
        <v>1644</v>
      </c>
      <c r="E294" t="str">
        <f>+CONCATENATE(D294,". FABRICADO EN ",M294,". PUNTERA DE ",N294,". PLANTILLA ",O294,". SUELA DE ",P294)</f>
        <v>ZAPATO MF O2+FO+SR Blanco 41. FABRICADO EN MICROFIBRA. PUNTERA DE No lleva. PLANTILLA No lleva. SUELA DE EVA/CAUCHO-NITRILO</v>
      </c>
      <c r="F294" t="str">
        <f>PROPER(E294)</f>
        <v>Zapato Mf O2+Fo+Sr Blanco 41. Fabricado En Microfibra. Puntera De No Lleva. Plantilla No Lleva. Suela De Eva/Caucho-Nitrilo</v>
      </c>
      <c r="G294" s="24">
        <v>29.56</v>
      </c>
      <c r="H294" s="24">
        <f>+G294/0.72</f>
        <v>41.055555555555557</v>
      </c>
      <c r="I294" s="24">
        <f>+H294*1.21</f>
        <v>49.67722222222222</v>
      </c>
      <c r="J294" s="24" t="s">
        <v>2361</v>
      </c>
      <c r="K294" s="24" t="s">
        <v>2373</v>
      </c>
      <c r="L294" t="s">
        <v>1400</v>
      </c>
      <c r="M294" t="s">
        <v>1407</v>
      </c>
      <c r="N294" t="s">
        <v>1427</v>
      </c>
      <c r="O294" t="s">
        <v>1427</v>
      </c>
      <c r="P294" t="s">
        <v>1431</v>
      </c>
      <c r="Q294">
        <v>41</v>
      </c>
      <c r="R294" s="2">
        <v>8457780315602</v>
      </c>
      <c r="S294" s="3" t="s">
        <v>910</v>
      </c>
      <c r="T294" t="s">
        <v>1373</v>
      </c>
      <c r="U294" t="s">
        <v>1374</v>
      </c>
    </row>
    <row r="295" spans="1:21" x14ac:dyDescent="0.25">
      <c r="A295" t="s">
        <v>240</v>
      </c>
      <c r="B295" t="s">
        <v>2236</v>
      </c>
      <c r="C295" t="s">
        <v>248</v>
      </c>
      <c r="D295" t="s">
        <v>1645</v>
      </c>
      <c r="E295" t="str">
        <f>+CONCATENATE(D295,". FABRICADO EN ",M295,". PUNTERA DE ",N295,". PLANTILLA ",O295,". SUELA DE ",P295)</f>
        <v>ZAPATO MF O2+FO+SR Blanco 42. FABRICADO EN MICROFIBRA. PUNTERA DE No lleva. PLANTILLA No lleva. SUELA DE EVA/CAUCHO-NITRILO</v>
      </c>
      <c r="F295" t="str">
        <f>PROPER(E295)</f>
        <v>Zapato Mf O2+Fo+Sr Blanco 42. Fabricado En Microfibra. Puntera De No Lleva. Plantilla No Lleva. Suela De Eva/Caucho-Nitrilo</v>
      </c>
      <c r="G295" s="24">
        <v>29.56</v>
      </c>
      <c r="H295" s="24">
        <f>+G295/0.72</f>
        <v>41.055555555555557</v>
      </c>
      <c r="I295" s="24">
        <f>+H295*1.21</f>
        <v>49.67722222222222</v>
      </c>
      <c r="J295" s="24" t="s">
        <v>2361</v>
      </c>
      <c r="K295" s="24" t="s">
        <v>2373</v>
      </c>
      <c r="L295" t="s">
        <v>1400</v>
      </c>
      <c r="M295" t="s">
        <v>1407</v>
      </c>
      <c r="N295" t="s">
        <v>1427</v>
      </c>
      <c r="O295" t="s">
        <v>1427</v>
      </c>
      <c r="P295" t="s">
        <v>1431</v>
      </c>
      <c r="Q295">
        <v>42</v>
      </c>
      <c r="R295" s="2">
        <v>8457780315619</v>
      </c>
      <c r="S295" s="3" t="s">
        <v>911</v>
      </c>
      <c r="T295" t="s">
        <v>1373</v>
      </c>
      <c r="U295" t="s">
        <v>1374</v>
      </c>
    </row>
    <row r="296" spans="1:21" x14ac:dyDescent="0.25">
      <c r="A296" t="s">
        <v>240</v>
      </c>
      <c r="B296" t="s">
        <v>2236</v>
      </c>
      <c r="C296" t="s">
        <v>249</v>
      </c>
      <c r="D296" t="s">
        <v>1646</v>
      </c>
      <c r="E296" t="str">
        <f>+CONCATENATE(D296,". FABRICADO EN ",M296,". PUNTERA DE ",N296,". PLANTILLA ",O296,". SUELA DE ",P296)</f>
        <v>ZAPATO MF O2+FO+SR Blanco 43. FABRICADO EN MICROFIBRA. PUNTERA DE No lleva. PLANTILLA No lleva. SUELA DE EVA/CAUCHO-NITRILO</v>
      </c>
      <c r="F296" t="str">
        <f>PROPER(E296)</f>
        <v>Zapato Mf O2+Fo+Sr Blanco 43. Fabricado En Microfibra. Puntera De No Lleva. Plantilla No Lleva. Suela De Eva/Caucho-Nitrilo</v>
      </c>
      <c r="G296" s="24">
        <v>29.56</v>
      </c>
      <c r="H296" s="24">
        <f>+G296/0.72</f>
        <v>41.055555555555557</v>
      </c>
      <c r="I296" s="24">
        <f>+H296*1.21</f>
        <v>49.67722222222222</v>
      </c>
      <c r="J296" s="24" t="s">
        <v>2361</v>
      </c>
      <c r="K296" s="24" t="s">
        <v>2373</v>
      </c>
      <c r="L296" t="s">
        <v>1400</v>
      </c>
      <c r="M296" t="s">
        <v>1407</v>
      </c>
      <c r="N296" t="s">
        <v>1427</v>
      </c>
      <c r="O296" t="s">
        <v>1427</v>
      </c>
      <c r="P296" t="s">
        <v>1431</v>
      </c>
      <c r="Q296">
        <v>43</v>
      </c>
      <c r="R296" s="2">
        <v>8457780315626</v>
      </c>
      <c r="S296" s="3" t="s">
        <v>912</v>
      </c>
      <c r="T296" t="s">
        <v>1373</v>
      </c>
      <c r="U296" t="s">
        <v>1374</v>
      </c>
    </row>
    <row r="297" spans="1:21" x14ac:dyDescent="0.25">
      <c r="A297" t="s">
        <v>240</v>
      </c>
      <c r="B297" t="s">
        <v>2236</v>
      </c>
      <c r="C297" t="s">
        <v>250</v>
      </c>
      <c r="D297" t="s">
        <v>1647</v>
      </c>
      <c r="E297" t="str">
        <f>+CONCATENATE(D297,". FABRICADO EN ",M297,". PUNTERA DE ",N297,". PLANTILLA ",O297,". SUELA DE ",P297)</f>
        <v>ZAPATO MF O2+FO+SR Blanco 44. FABRICADO EN MICROFIBRA. PUNTERA DE No lleva. PLANTILLA No lleva. SUELA DE EVA/CAUCHO-NITRILO</v>
      </c>
      <c r="F297" t="str">
        <f>PROPER(E297)</f>
        <v>Zapato Mf O2+Fo+Sr Blanco 44. Fabricado En Microfibra. Puntera De No Lleva. Plantilla No Lleva. Suela De Eva/Caucho-Nitrilo</v>
      </c>
      <c r="G297" s="24">
        <v>29.56</v>
      </c>
      <c r="H297" s="24">
        <f>+G297/0.72</f>
        <v>41.055555555555557</v>
      </c>
      <c r="I297" s="24">
        <f>+H297*1.21</f>
        <v>49.67722222222222</v>
      </c>
      <c r="J297" s="24" t="s">
        <v>2361</v>
      </c>
      <c r="K297" s="24" t="s">
        <v>2373</v>
      </c>
      <c r="L297" t="s">
        <v>1400</v>
      </c>
      <c r="M297" t="s">
        <v>1407</v>
      </c>
      <c r="N297" t="s">
        <v>1427</v>
      </c>
      <c r="O297" t="s">
        <v>1427</v>
      </c>
      <c r="P297" t="s">
        <v>1431</v>
      </c>
      <c r="Q297">
        <v>44</v>
      </c>
      <c r="R297" s="2">
        <v>8457780315633</v>
      </c>
      <c r="S297" s="3" t="s">
        <v>913</v>
      </c>
      <c r="T297" t="s">
        <v>1373</v>
      </c>
      <c r="U297" t="s">
        <v>1374</v>
      </c>
    </row>
    <row r="298" spans="1:21" x14ac:dyDescent="0.25">
      <c r="A298" t="s">
        <v>240</v>
      </c>
      <c r="B298" t="s">
        <v>2236</v>
      </c>
      <c r="C298" t="s">
        <v>251</v>
      </c>
      <c r="D298" t="s">
        <v>1648</v>
      </c>
      <c r="E298" t="str">
        <f>+CONCATENATE(D298,". FABRICADO EN ",M298,". PUNTERA DE ",N298,". PLANTILLA ",O298,". SUELA DE ",P298)</f>
        <v>ZAPATO MF O2+FO+SR Blanco 45. FABRICADO EN MICROFIBRA. PUNTERA DE No lleva. PLANTILLA No lleva. SUELA DE EVA/CAUCHO-NITRILO</v>
      </c>
      <c r="F298" t="str">
        <f>PROPER(E298)</f>
        <v>Zapato Mf O2+Fo+Sr Blanco 45. Fabricado En Microfibra. Puntera De No Lleva. Plantilla No Lleva. Suela De Eva/Caucho-Nitrilo</v>
      </c>
      <c r="G298" s="24">
        <v>29.56</v>
      </c>
      <c r="H298" s="24">
        <f>+G298/0.72</f>
        <v>41.055555555555557</v>
      </c>
      <c r="I298" s="24">
        <f>+H298*1.21</f>
        <v>49.67722222222222</v>
      </c>
      <c r="J298" s="24" t="s">
        <v>2361</v>
      </c>
      <c r="K298" s="24" t="s">
        <v>2373</v>
      </c>
      <c r="L298" t="s">
        <v>1400</v>
      </c>
      <c r="M298" t="s">
        <v>1407</v>
      </c>
      <c r="N298" t="s">
        <v>1427</v>
      </c>
      <c r="O298" t="s">
        <v>1427</v>
      </c>
      <c r="P298" t="s">
        <v>1431</v>
      </c>
      <c r="Q298">
        <v>45</v>
      </c>
      <c r="R298" s="2">
        <v>8457780315640</v>
      </c>
      <c r="S298" s="3" t="s">
        <v>914</v>
      </c>
      <c r="T298" t="s">
        <v>1373</v>
      </c>
      <c r="U298" t="s">
        <v>1374</v>
      </c>
    </row>
    <row r="299" spans="1:21" x14ac:dyDescent="0.25">
      <c r="A299" t="s">
        <v>240</v>
      </c>
      <c r="B299" t="s">
        <v>2236</v>
      </c>
      <c r="C299" t="s">
        <v>252</v>
      </c>
      <c r="D299" t="s">
        <v>1649</v>
      </c>
      <c r="E299" t="str">
        <f>+CONCATENATE(D299,". FABRICADO EN ",M299,". PUNTERA DE ",N299,". PLANTILLA ",O299,". SUELA DE ",P299)</f>
        <v>ZAPATO MF O2+FO+SR Blanco 46. FABRICADO EN MICROFIBRA. PUNTERA DE No lleva. PLANTILLA No lleva. SUELA DE EVA/CAUCHO-NITRILO</v>
      </c>
      <c r="F299" t="str">
        <f>PROPER(E299)</f>
        <v>Zapato Mf O2+Fo+Sr Blanco 46. Fabricado En Microfibra. Puntera De No Lleva. Plantilla No Lleva. Suela De Eva/Caucho-Nitrilo</v>
      </c>
      <c r="G299" s="24">
        <v>29.56</v>
      </c>
      <c r="H299" s="24">
        <f>+G299/0.72</f>
        <v>41.055555555555557</v>
      </c>
      <c r="I299" s="24">
        <f>+H299*1.21</f>
        <v>49.67722222222222</v>
      </c>
      <c r="J299" s="24" t="s">
        <v>2361</v>
      </c>
      <c r="K299" s="24" t="s">
        <v>2373</v>
      </c>
      <c r="L299" t="s">
        <v>1400</v>
      </c>
      <c r="M299" t="s">
        <v>1407</v>
      </c>
      <c r="N299" t="s">
        <v>1427</v>
      </c>
      <c r="O299" t="s">
        <v>1427</v>
      </c>
      <c r="P299" t="s">
        <v>1431</v>
      </c>
      <c r="Q299">
        <v>46</v>
      </c>
      <c r="R299" s="2">
        <v>8457780315657</v>
      </c>
      <c r="S299" s="3" t="s">
        <v>915</v>
      </c>
      <c r="T299" t="s">
        <v>1373</v>
      </c>
      <c r="U299" t="s">
        <v>1374</v>
      </c>
    </row>
    <row r="300" spans="1:21" x14ac:dyDescent="0.25">
      <c r="A300" t="s">
        <v>240</v>
      </c>
      <c r="B300" t="s">
        <v>2236</v>
      </c>
      <c r="C300" t="s">
        <v>253</v>
      </c>
      <c r="D300" t="s">
        <v>1650</v>
      </c>
      <c r="E300" t="str">
        <f>+CONCATENATE(D300,". FABRICADO EN ",M300,". PUNTERA DE ",N300,". PLANTILLA ",O300,". SUELA DE ",P300)</f>
        <v>ZAPATO MF O2+FO+SR Blanco 47. FABRICADO EN MICROFIBRA. PUNTERA DE No lleva. PLANTILLA No lleva. SUELA DE EVA/CAUCHO-NITRILO</v>
      </c>
      <c r="F300" t="str">
        <f>PROPER(E300)</f>
        <v>Zapato Mf O2+Fo+Sr Blanco 47. Fabricado En Microfibra. Puntera De No Lleva. Plantilla No Lleva. Suela De Eva/Caucho-Nitrilo</v>
      </c>
      <c r="G300" s="24">
        <v>29.56</v>
      </c>
      <c r="H300" s="24">
        <f>+G300/0.72</f>
        <v>41.055555555555557</v>
      </c>
      <c r="I300" s="24">
        <f>+H300*1.21</f>
        <v>49.67722222222222</v>
      </c>
      <c r="J300" s="24" t="s">
        <v>2361</v>
      </c>
      <c r="K300" s="24" t="s">
        <v>2373</v>
      </c>
      <c r="L300" t="s">
        <v>1400</v>
      </c>
      <c r="M300" t="s">
        <v>1407</v>
      </c>
      <c r="N300" t="s">
        <v>1427</v>
      </c>
      <c r="O300" t="s">
        <v>1427</v>
      </c>
      <c r="P300" t="s">
        <v>1431</v>
      </c>
      <c r="Q300">
        <v>47</v>
      </c>
      <c r="R300" s="2">
        <v>8457780315664</v>
      </c>
      <c r="S300" s="3" t="s">
        <v>916</v>
      </c>
      <c r="T300" t="s">
        <v>1373</v>
      </c>
      <c r="U300" t="s">
        <v>1374</v>
      </c>
    </row>
    <row r="301" spans="1:21" x14ac:dyDescent="0.25">
      <c r="A301" t="s">
        <v>240</v>
      </c>
      <c r="B301" t="s">
        <v>2236</v>
      </c>
      <c r="C301" t="s">
        <v>254</v>
      </c>
      <c r="D301" t="s">
        <v>1651</v>
      </c>
      <c r="E301" t="str">
        <f>+CONCATENATE(D301,". FABRICADO EN ",M301,". PUNTERA DE ",N301,". PLANTILLA ",O301,". SUELA DE ",P301)</f>
        <v>ZAPATO MF O2+FO+SR Blanco 48. FABRICADO EN MICROFIBRA. PUNTERA DE No lleva. PLANTILLA No lleva. SUELA DE EVA/CAUCHO-NITRILO</v>
      </c>
      <c r="F301" t="str">
        <f>PROPER(E301)</f>
        <v>Zapato Mf O2+Fo+Sr Blanco 48. Fabricado En Microfibra. Puntera De No Lleva. Plantilla No Lleva. Suela De Eva/Caucho-Nitrilo</v>
      </c>
      <c r="G301" s="24">
        <v>29.56</v>
      </c>
      <c r="H301" s="24">
        <f>+G301/0.72</f>
        <v>41.055555555555557</v>
      </c>
      <c r="I301" s="24">
        <f>+H301*1.21</f>
        <v>49.67722222222222</v>
      </c>
      <c r="J301" s="24" t="s">
        <v>2361</v>
      </c>
      <c r="K301" s="24" t="s">
        <v>2373</v>
      </c>
      <c r="L301" t="s">
        <v>1400</v>
      </c>
      <c r="M301" t="s">
        <v>1407</v>
      </c>
      <c r="N301" t="s">
        <v>1427</v>
      </c>
      <c r="O301" t="s">
        <v>1427</v>
      </c>
      <c r="P301" t="s">
        <v>1431</v>
      </c>
      <c r="Q301">
        <v>48</v>
      </c>
      <c r="R301" s="2">
        <v>8457780315671</v>
      </c>
      <c r="S301" s="3" t="s">
        <v>917</v>
      </c>
      <c r="T301" t="s">
        <v>1373</v>
      </c>
      <c r="U301" t="s">
        <v>1374</v>
      </c>
    </row>
    <row r="302" spans="1:21" x14ac:dyDescent="0.25">
      <c r="A302" t="s">
        <v>255</v>
      </c>
      <c r="B302" t="s">
        <v>2237</v>
      </c>
      <c r="C302" t="s">
        <v>256</v>
      </c>
      <c r="D302" t="s">
        <v>1652</v>
      </c>
      <c r="E302" t="str">
        <f>+CONCATENATE(D302,". FABRICADO EN ",M302,". PUNTERA DE ",N302,". PLANTILLA ",O302,". SUELA DE ",P302)</f>
        <v>ZAPATO MF O2+FO+SR Negro 35. FABRICADO EN MICROFIBRA. PUNTERA DE No lleva. PLANTILLA No lleva. SUELA DE EVA/CAUCHO-NITRILO</v>
      </c>
      <c r="F302" t="str">
        <f>PROPER(E302)</f>
        <v>Zapato Mf O2+Fo+Sr Negro 35. Fabricado En Microfibra. Puntera De No Lleva. Plantilla No Lleva. Suela De Eva/Caucho-Nitrilo</v>
      </c>
      <c r="G302" s="24">
        <v>29.56</v>
      </c>
      <c r="H302" s="24">
        <f>+G302/0.72</f>
        <v>41.055555555555557</v>
      </c>
      <c r="I302" s="24">
        <f>+H302*1.21</f>
        <v>49.67722222222222</v>
      </c>
      <c r="J302" s="24" t="s">
        <v>2361</v>
      </c>
      <c r="K302" s="24" t="s">
        <v>2373</v>
      </c>
      <c r="L302" t="s">
        <v>1392</v>
      </c>
      <c r="M302" t="s">
        <v>1407</v>
      </c>
      <c r="N302" t="s">
        <v>1427</v>
      </c>
      <c r="O302" t="s">
        <v>1427</v>
      </c>
      <c r="P302" t="s">
        <v>1431</v>
      </c>
      <c r="Q302">
        <v>35</v>
      </c>
      <c r="R302" s="2">
        <v>8457780313660</v>
      </c>
      <c r="S302" s="3" t="s">
        <v>918</v>
      </c>
      <c r="T302" s="1" t="s">
        <v>1375</v>
      </c>
      <c r="U302" t="s">
        <v>1376</v>
      </c>
    </row>
    <row r="303" spans="1:21" x14ac:dyDescent="0.25">
      <c r="A303" t="s">
        <v>255</v>
      </c>
      <c r="B303" t="s">
        <v>2237</v>
      </c>
      <c r="C303" t="s">
        <v>257</v>
      </c>
      <c r="D303" t="s">
        <v>1653</v>
      </c>
      <c r="E303" t="str">
        <f>+CONCATENATE(D303,". FABRICADO EN ",M303,". PUNTERA DE ",N303,". PLANTILLA ",O303,". SUELA DE ",P303)</f>
        <v>ZAPATO MF O2+FO+SR Negro 36. FABRICADO EN MICROFIBRA. PUNTERA DE No lleva. PLANTILLA No lleva. SUELA DE EVA/CAUCHO-NITRILO</v>
      </c>
      <c r="F303" t="str">
        <f>PROPER(E303)</f>
        <v>Zapato Mf O2+Fo+Sr Negro 36. Fabricado En Microfibra. Puntera De No Lleva. Plantilla No Lleva. Suela De Eva/Caucho-Nitrilo</v>
      </c>
      <c r="G303" s="24">
        <v>29.56</v>
      </c>
      <c r="H303" s="24">
        <f>+G303/0.72</f>
        <v>41.055555555555557</v>
      </c>
      <c r="I303" s="24">
        <f>+H303*1.21</f>
        <v>49.67722222222222</v>
      </c>
      <c r="J303" s="24" t="s">
        <v>2361</v>
      </c>
      <c r="K303" s="24" t="s">
        <v>2373</v>
      </c>
      <c r="L303" t="s">
        <v>1392</v>
      </c>
      <c r="M303" t="s">
        <v>1407</v>
      </c>
      <c r="N303" t="s">
        <v>1427</v>
      </c>
      <c r="O303" t="s">
        <v>1427</v>
      </c>
      <c r="P303" t="s">
        <v>1431</v>
      </c>
      <c r="Q303">
        <v>36</v>
      </c>
      <c r="R303" s="2">
        <v>8457780313677</v>
      </c>
      <c r="S303" s="3" t="s">
        <v>919</v>
      </c>
      <c r="T303" s="1" t="s">
        <v>1375</v>
      </c>
      <c r="U303" t="s">
        <v>1376</v>
      </c>
    </row>
    <row r="304" spans="1:21" x14ac:dyDescent="0.25">
      <c r="A304" t="s">
        <v>255</v>
      </c>
      <c r="B304" t="s">
        <v>2237</v>
      </c>
      <c r="C304" t="s">
        <v>258</v>
      </c>
      <c r="D304" t="s">
        <v>1654</v>
      </c>
      <c r="E304" t="str">
        <f>+CONCATENATE(D304,". FABRICADO EN ",M304,". PUNTERA DE ",N304,". PLANTILLA ",O304,". SUELA DE ",P304)</f>
        <v>ZAPATO MF O2+FO+SR Negro 37. FABRICADO EN MICROFIBRA. PUNTERA DE No lleva. PLANTILLA No lleva. SUELA DE EVA/CAUCHO-NITRILO</v>
      </c>
      <c r="F304" t="str">
        <f>PROPER(E304)</f>
        <v>Zapato Mf O2+Fo+Sr Negro 37. Fabricado En Microfibra. Puntera De No Lleva. Plantilla No Lleva. Suela De Eva/Caucho-Nitrilo</v>
      </c>
      <c r="G304" s="24">
        <v>29.56</v>
      </c>
      <c r="H304" s="24">
        <f>+G304/0.72</f>
        <v>41.055555555555557</v>
      </c>
      <c r="I304" s="24">
        <f>+H304*1.21</f>
        <v>49.67722222222222</v>
      </c>
      <c r="J304" s="24" t="s">
        <v>2361</v>
      </c>
      <c r="K304" s="24" t="s">
        <v>2373</v>
      </c>
      <c r="L304" t="s">
        <v>1392</v>
      </c>
      <c r="M304" t="s">
        <v>1407</v>
      </c>
      <c r="N304" t="s">
        <v>1427</v>
      </c>
      <c r="O304" t="s">
        <v>1427</v>
      </c>
      <c r="P304" t="s">
        <v>1431</v>
      </c>
      <c r="Q304">
        <v>37</v>
      </c>
      <c r="R304" s="2">
        <v>8457780313684</v>
      </c>
      <c r="S304" s="3" t="s">
        <v>920</v>
      </c>
      <c r="T304" s="1" t="s">
        <v>1375</v>
      </c>
      <c r="U304" t="s">
        <v>1376</v>
      </c>
    </row>
    <row r="305" spans="1:21" x14ac:dyDescent="0.25">
      <c r="A305" t="s">
        <v>255</v>
      </c>
      <c r="B305" t="s">
        <v>2237</v>
      </c>
      <c r="C305" t="s">
        <v>259</v>
      </c>
      <c r="D305" t="s">
        <v>1655</v>
      </c>
      <c r="E305" t="str">
        <f>+CONCATENATE(D305,". FABRICADO EN ",M305,". PUNTERA DE ",N305,". PLANTILLA ",O305,". SUELA DE ",P305)</f>
        <v>ZAPATO MF O2+FO+SR Negro 38. FABRICADO EN MICROFIBRA. PUNTERA DE No lleva. PLANTILLA No lleva. SUELA DE EVA/CAUCHO-NITRILO</v>
      </c>
      <c r="F305" t="str">
        <f>PROPER(E305)</f>
        <v>Zapato Mf O2+Fo+Sr Negro 38. Fabricado En Microfibra. Puntera De No Lleva. Plantilla No Lleva. Suela De Eva/Caucho-Nitrilo</v>
      </c>
      <c r="G305" s="24">
        <v>29.56</v>
      </c>
      <c r="H305" s="24">
        <f>+G305/0.72</f>
        <v>41.055555555555557</v>
      </c>
      <c r="I305" s="24">
        <f>+H305*1.21</f>
        <v>49.67722222222222</v>
      </c>
      <c r="J305" s="24" t="s">
        <v>2361</v>
      </c>
      <c r="K305" s="24" t="s">
        <v>2373</v>
      </c>
      <c r="L305" t="s">
        <v>1392</v>
      </c>
      <c r="M305" t="s">
        <v>1407</v>
      </c>
      <c r="N305" t="s">
        <v>1427</v>
      </c>
      <c r="O305" t="s">
        <v>1427</v>
      </c>
      <c r="P305" t="s">
        <v>1431</v>
      </c>
      <c r="Q305">
        <v>38</v>
      </c>
      <c r="R305" s="2">
        <v>8457780313691</v>
      </c>
      <c r="S305" s="3" t="s">
        <v>921</v>
      </c>
      <c r="T305" s="1" t="s">
        <v>1375</v>
      </c>
      <c r="U305" t="s">
        <v>1376</v>
      </c>
    </row>
    <row r="306" spans="1:21" x14ac:dyDescent="0.25">
      <c r="A306" t="s">
        <v>255</v>
      </c>
      <c r="B306" t="s">
        <v>2237</v>
      </c>
      <c r="C306" t="s">
        <v>260</v>
      </c>
      <c r="D306" t="s">
        <v>1656</v>
      </c>
      <c r="E306" t="str">
        <f>+CONCATENATE(D306,". FABRICADO EN ",M306,". PUNTERA DE ",N306,". PLANTILLA ",O306,". SUELA DE ",P306)</f>
        <v>ZAPATO MF O2+FO+SR Negro 39. FABRICADO EN MICROFIBRA. PUNTERA DE No lleva. PLANTILLA No lleva. SUELA DE EVA/CAUCHO-NITRILO</v>
      </c>
      <c r="F306" t="str">
        <f>PROPER(E306)</f>
        <v>Zapato Mf O2+Fo+Sr Negro 39. Fabricado En Microfibra. Puntera De No Lleva. Plantilla No Lleva. Suela De Eva/Caucho-Nitrilo</v>
      </c>
      <c r="G306" s="24">
        <v>29.56</v>
      </c>
      <c r="H306" s="24">
        <f>+G306/0.72</f>
        <v>41.055555555555557</v>
      </c>
      <c r="I306" s="24">
        <f>+H306*1.21</f>
        <v>49.67722222222222</v>
      </c>
      <c r="J306" s="24" t="s">
        <v>2361</v>
      </c>
      <c r="K306" s="24" t="s">
        <v>2373</v>
      </c>
      <c r="L306" t="s">
        <v>1392</v>
      </c>
      <c r="M306" t="s">
        <v>1407</v>
      </c>
      <c r="N306" t="s">
        <v>1427</v>
      </c>
      <c r="O306" t="s">
        <v>1427</v>
      </c>
      <c r="P306" t="s">
        <v>1431</v>
      </c>
      <c r="Q306">
        <v>39</v>
      </c>
      <c r="R306" s="2">
        <v>8457780313707</v>
      </c>
      <c r="S306" s="3" t="s">
        <v>922</v>
      </c>
      <c r="T306" s="1" t="s">
        <v>1375</v>
      </c>
      <c r="U306" t="s">
        <v>1376</v>
      </c>
    </row>
    <row r="307" spans="1:21" x14ac:dyDescent="0.25">
      <c r="A307" t="s">
        <v>255</v>
      </c>
      <c r="B307" t="s">
        <v>2237</v>
      </c>
      <c r="C307" t="s">
        <v>261</v>
      </c>
      <c r="D307" t="s">
        <v>1657</v>
      </c>
      <c r="E307" t="str">
        <f>+CONCATENATE(D307,". FABRICADO EN ",M307,". PUNTERA DE ",N307,". PLANTILLA ",O307,". SUELA DE ",P307)</f>
        <v>ZAPATO MF O2+FO+SR Negro 40. FABRICADO EN MICROFIBRA. PUNTERA DE No lleva. PLANTILLA No lleva. SUELA DE EVA/CAUCHO-NITRILO</v>
      </c>
      <c r="F307" t="str">
        <f>PROPER(E307)</f>
        <v>Zapato Mf O2+Fo+Sr Negro 40. Fabricado En Microfibra. Puntera De No Lleva. Plantilla No Lleva. Suela De Eva/Caucho-Nitrilo</v>
      </c>
      <c r="G307" s="24">
        <v>29.56</v>
      </c>
      <c r="H307" s="24">
        <f>+G307/0.72</f>
        <v>41.055555555555557</v>
      </c>
      <c r="I307" s="24">
        <f>+H307*1.21</f>
        <v>49.67722222222222</v>
      </c>
      <c r="J307" s="24" t="s">
        <v>2361</v>
      </c>
      <c r="K307" s="24" t="s">
        <v>2373</v>
      </c>
      <c r="L307" t="s">
        <v>1392</v>
      </c>
      <c r="M307" t="s">
        <v>1407</v>
      </c>
      <c r="N307" t="s">
        <v>1427</v>
      </c>
      <c r="O307" t="s">
        <v>1427</v>
      </c>
      <c r="P307" t="s">
        <v>1431</v>
      </c>
      <c r="Q307">
        <v>40</v>
      </c>
      <c r="R307" s="2">
        <v>8457780313714</v>
      </c>
      <c r="S307" s="3" t="s">
        <v>923</v>
      </c>
      <c r="T307" s="1" t="s">
        <v>1375</v>
      </c>
      <c r="U307" t="s">
        <v>1376</v>
      </c>
    </row>
    <row r="308" spans="1:21" x14ac:dyDescent="0.25">
      <c r="A308" t="s">
        <v>255</v>
      </c>
      <c r="B308" t="s">
        <v>2237</v>
      </c>
      <c r="C308" t="s">
        <v>262</v>
      </c>
      <c r="D308" t="s">
        <v>1658</v>
      </c>
      <c r="E308" t="str">
        <f>+CONCATENATE(D308,". FABRICADO EN ",M308,". PUNTERA DE ",N308,". PLANTILLA ",O308,". SUELA DE ",P308)</f>
        <v>ZAPATO MF O2+FO+SR Negro 41. FABRICADO EN MICROFIBRA. PUNTERA DE No lleva. PLANTILLA No lleva. SUELA DE EVA/CAUCHO-NITRILO</v>
      </c>
      <c r="F308" t="str">
        <f>PROPER(E308)</f>
        <v>Zapato Mf O2+Fo+Sr Negro 41. Fabricado En Microfibra. Puntera De No Lleva. Plantilla No Lleva. Suela De Eva/Caucho-Nitrilo</v>
      </c>
      <c r="G308" s="24">
        <v>29.56</v>
      </c>
      <c r="H308" s="24">
        <f>+G308/0.72</f>
        <v>41.055555555555557</v>
      </c>
      <c r="I308" s="24">
        <f>+H308*1.21</f>
        <v>49.67722222222222</v>
      </c>
      <c r="J308" s="24" t="s">
        <v>2361</v>
      </c>
      <c r="K308" s="24" t="s">
        <v>2373</v>
      </c>
      <c r="L308" t="s">
        <v>1392</v>
      </c>
      <c r="M308" t="s">
        <v>1407</v>
      </c>
      <c r="N308" t="s">
        <v>1427</v>
      </c>
      <c r="O308" t="s">
        <v>1427</v>
      </c>
      <c r="P308" t="s">
        <v>1431</v>
      </c>
      <c r="Q308">
        <v>41</v>
      </c>
      <c r="R308" s="2">
        <v>8457780313721</v>
      </c>
      <c r="S308" s="3" t="s">
        <v>924</v>
      </c>
      <c r="T308" s="1" t="s">
        <v>1375</v>
      </c>
      <c r="U308" t="s">
        <v>1376</v>
      </c>
    </row>
    <row r="309" spans="1:21" x14ac:dyDescent="0.25">
      <c r="A309" t="s">
        <v>255</v>
      </c>
      <c r="B309" t="s">
        <v>2237</v>
      </c>
      <c r="C309" t="s">
        <v>263</v>
      </c>
      <c r="D309" t="s">
        <v>1659</v>
      </c>
      <c r="E309" t="str">
        <f>+CONCATENATE(D309,". FABRICADO EN ",M309,". PUNTERA DE ",N309,". PLANTILLA ",O309,". SUELA DE ",P309)</f>
        <v>ZAPATO MF O2+FO+SR Negro 42. FABRICADO EN MICROFIBRA. PUNTERA DE No lleva. PLANTILLA No lleva. SUELA DE EVA/CAUCHO-NITRILO</v>
      </c>
      <c r="F309" t="str">
        <f>PROPER(E309)</f>
        <v>Zapato Mf O2+Fo+Sr Negro 42. Fabricado En Microfibra. Puntera De No Lleva. Plantilla No Lleva. Suela De Eva/Caucho-Nitrilo</v>
      </c>
      <c r="G309" s="24">
        <v>29.56</v>
      </c>
      <c r="H309" s="24">
        <f>+G309/0.72</f>
        <v>41.055555555555557</v>
      </c>
      <c r="I309" s="24">
        <f>+H309*1.21</f>
        <v>49.67722222222222</v>
      </c>
      <c r="J309" s="24" t="s">
        <v>2361</v>
      </c>
      <c r="K309" s="24" t="s">
        <v>2373</v>
      </c>
      <c r="L309" t="s">
        <v>1392</v>
      </c>
      <c r="M309" t="s">
        <v>1407</v>
      </c>
      <c r="N309" t="s">
        <v>1427</v>
      </c>
      <c r="O309" t="s">
        <v>1427</v>
      </c>
      <c r="P309" t="s">
        <v>1431</v>
      </c>
      <c r="Q309">
        <v>42</v>
      </c>
      <c r="R309" s="2">
        <v>8457780313738</v>
      </c>
      <c r="S309" s="3" t="s">
        <v>925</v>
      </c>
      <c r="T309" s="1" t="s">
        <v>1375</v>
      </c>
      <c r="U309" t="s">
        <v>1376</v>
      </c>
    </row>
    <row r="310" spans="1:21" x14ac:dyDescent="0.25">
      <c r="A310" t="s">
        <v>255</v>
      </c>
      <c r="B310" t="s">
        <v>2237</v>
      </c>
      <c r="C310" t="s">
        <v>264</v>
      </c>
      <c r="D310" t="s">
        <v>1660</v>
      </c>
      <c r="E310" t="str">
        <f>+CONCATENATE(D310,". FABRICADO EN ",M310,". PUNTERA DE ",N310,". PLANTILLA ",O310,". SUELA DE ",P310)</f>
        <v>ZAPATO MF O2+FO+SR Negro 43. FABRICADO EN MICROFIBRA. PUNTERA DE No lleva. PLANTILLA No lleva. SUELA DE EVA/CAUCHO-NITRILO</v>
      </c>
      <c r="F310" t="str">
        <f>PROPER(E310)</f>
        <v>Zapato Mf O2+Fo+Sr Negro 43. Fabricado En Microfibra. Puntera De No Lleva. Plantilla No Lleva. Suela De Eva/Caucho-Nitrilo</v>
      </c>
      <c r="G310" s="24">
        <v>29.56</v>
      </c>
      <c r="H310" s="24">
        <f>+G310/0.72</f>
        <v>41.055555555555557</v>
      </c>
      <c r="I310" s="24">
        <f>+H310*1.21</f>
        <v>49.67722222222222</v>
      </c>
      <c r="J310" s="24" t="s">
        <v>2361</v>
      </c>
      <c r="K310" s="24" t="s">
        <v>2373</v>
      </c>
      <c r="L310" t="s">
        <v>1392</v>
      </c>
      <c r="M310" t="s">
        <v>1407</v>
      </c>
      <c r="N310" t="s">
        <v>1427</v>
      </c>
      <c r="O310" t="s">
        <v>1427</v>
      </c>
      <c r="P310" t="s">
        <v>1431</v>
      </c>
      <c r="Q310">
        <v>43</v>
      </c>
      <c r="R310" s="2">
        <v>8457780313745</v>
      </c>
      <c r="S310" s="3" t="s">
        <v>926</v>
      </c>
      <c r="T310" s="1" t="s">
        <v>1375</v>
      </c>
      <c r="U310" t="s">
        <v>1376</v>
      </c>
    </row>
    <row r="311" spans="1:21" x14ac:dyDescent="0.25">
      <c r="A311" t="s">
        <v>255</v>
      </c>
      <c r="B311" t="s">
        <v>2237</v>
      </c>
      <c r="C311" t="s">
        <v>265</v>
      </c>
      <c r="D311" t="s">
        <v>1661</v>
      </c>
      <c r="E311" t="str">
        <f>+CONCATENATE(D311,". FABRICADO EN ",M311,". PUNTERA DE ",N311,". PLANTILLA ",O311,". SUELA DE ",P311)</f>
        <v>ZAPATO MF O2+FO+SR Negro 44. FABRICADO EN MICROFIBRA. PUNTERA DE No lleva. PLANTILLA No lleva. SUELA DE EVA/CAUCHO-NITRILO</v>
      </c>
      <c r="F311" t="str">
        <f>PROPER(E311)</f>
        <v>Zapato Mf O2+Fo+Sr Negro 44. Fabricado En Microfibra. Puntera De No Lleva. Plantilla No Lleva. Suela De Eva/Caucho-Nitrilo</v>
      </c>
      <c r="G311" s="24">
        <v>29.56</v>
      </c>
      <c r="H311" s="24">
        <f>+G311/0.72</f>
        <v>41.055555555555557</v>
      </c>
      <c r="I311" s="24">
        <f>+H311*1.21</f>
        <v>49.67722222222222</v>
      </c>
      <c r="J311" s="24" t="s">
        <v>2361</v>
      </c>
      <c r="K311" s="24" t="s">
        <v>2373</v>
      </c>
      <c r="L311" t="s">
        <v>1392</v>
      </c>
      <c r="M311" t="s">
        <v>1407</v>
      </c>
      <c r="N311" t="s">
        <v>1427</v>
      </c>
      <c r="O311" t="s">
        <v>1427</v>
      </c>
      <c r="P311" t="s">
        <v>1431</v>
      </c>
      <c r="Q311">
        <v>44</v>
      </c>
      <c r="R311" s="2">
        <v>8457780313752</v>
      </c>
      <c r="S311" s="3" t="s">
        <v>927</v>
      </c>
      <c r="T311" s="1" t="s">
        <v>1375</v>
      </c>
      <c r="U311" t="s">
        <v>1376</v>
      </c>
    </row>
    <row r="312" spans="1:21" x14ac:dyDescent="0.25">
      <c r="A312" t="s">
        <v>255</v>
      </c>
      <c r="B312" t="s">
        <v>2237</v>
      </c>
      <c r="C312" t="s">
        <v>266</v>
      </c>
      <c r="D312" t="s">
        <v>1662</v>
      </c>
      <c r="E312" t="str">
        <f>+CONCATENATE(D312,". FABRICADO EN ",M312,". PUNTERA DE ",N312,". PLANTILLA ",O312,". SUELA DE ",P312)</f>
        <v>ZAPATO MF O2+FO+SR Negro 45. FABRICADO EN MICROFIBRA. PUNTERA DE No lleva. PLANTILLA No lleva. SUELA DE EVA/CAUCHO-NITRILO</v>
      </c>
      <c r="F312" t="str">
        <f>PROPER(E312)</f>
        <v>Zapato Mf O2+Fo+Sr Negro 45. Fabricado En Microfibra. Puntera De No Lleva. Plantilla No Lleva. Suela De Eva/Caucho-Nitrilo</v>
      </c>
      <c r="G312" s="24">
        <v>29.56</v>
      </c>
      <c r="H312" s="24">
        <f>+G312/0.72</f>
        <v>41.055555555555557</v>
      </c>
      <c r="I312" s="24">
        <f>+H312*1.21</f>
        <v>49.67722222222222</v>
      </c>
      <c r="J312" s="24" t="s">
        <v>2361</v>
      </c>
      <c r="K312" s="24" t="s">
        <v>2373</v>
      </c>
      <c r="L312" t="s">
        <v>1392</v>
      </c>
      <c r="M312" t="s">
        <v>1407</v>
      </c>
      <c r="N312" t="s">
        <v>1427</v>
      </c>
      <c r="O312" t="s">
        <v>1427</v>
      </c>
      <c r="P312" t="s">
        <v>1431</v>
      </c>
      <c r="Q312">
        <v>45</v>
      </c>
      <c r="R312" s="2">
        <v>8457780313769</v>
      </c>
      <c r="S312" s="3" t="s">
        <v>928</v>
      </c>
      <c r="T312" s="1" t="s">
        <v>1375</v>
      </c>
      <c r="U312" t="s">
        <v>1376</v>
      </c>
    </row>
    <row r="313" spans="1:21" x14ac:dyDescent="0.25">
      <c r="A313" t="s">
        <v>255</v>
      </c>
      <c r="B313" t="s">
        <v>2237</v>
      </c>
      <c r="C313" t="s">
        <v>267</v>
      </c>
      <c r="D313" t="s">
        <v>1663</v>
      </c>
      <c r="E313" t="str">
        <f>+CONCATENATE(D313,". FABRICADO EN ",M313,". PUNTERA DE ",N313,". PLANTILLA ",O313,". SUELA DE ",P313)</f>
        <v>ZAPATO MF O2+FO+SR Negro 46. FABRICADO EN MICROFIBRA. PUNTERA DE No lleva. PLANTILLA No lleva. SUELA DE EVA/CAUCHO-NITRILO</v>
      </c>
      <c r="F313" t="str">
        <f>PROPER(E313)</f>
        <v>Zapato Mf O2+Fo+Sr Negro 46. Fabricado En Microfibra. Puntera De No Lleva. Plantilla No Lleva. Suela De Eva/Caucho-Nitrilo</v>
      </c>
      <c r="G313" s="24">
        <v>29.56</v>
      </c>
      <c r="H313" s="24">
        <f>+G313/0.72</f>
        <v>41.055555555555557</v>
      </c>
      <c r="I313" s="24">
        <f>+H313*1.21</f>
        <v>49.67722222222222</v>
      </c>
      <c r="J313" s="24" t="s">
        <v>2361</v>
      </c>
      <c r="K313" s="24" t="s">
        <v>2373</v>
      </c>
      <c r="L313" t="s">
        <v>1392</v>
      </c>
      <c r="M313" t="s">
        <v>1407</v>
      </c>
      <c r="N313" t="s">
        <v>1427</v>
      </c>
      <c r="O313" t="s">
        <v>1427</v>
      </c>
      <c r="P313" t="s">
        <v>1431</v>
      </c>
      <c r="Q313">
        <v>46</v>
      </c>
      <c r="R313" s="2">
        <v>8457780313776</v>
      </c>
      <c r="S313" s="3" t="s">
        <v>929</v>
      </c>
      <c r="T313" s="1" t="s">
        <v>1375</v>
      </c>
      <c r="U313" t="s">
        <v>1376</v>
      </c>
    </row>
    <row r="314" spans="1:21" x14ac:dyDescent="0.25">
      <c r="A314" t="s">
        <v>255</v>
      </c>
      <c r="B314" t="s">
        <v>2237</v>
      </c>
      <c r="C314" t="s">
        <v>268</v>
      </c>
      <c r="D314" t="s">
        <v>1664</v>
      </c>
      <c r="E314" t="str">
        <f>+CONCATENATE(D314,". FABRICADO EN ",M314,". PUNTERA DE ",N314,". PLANTILLA ",O314,". SUELA DE ",P314)</f>
        <v>ZAPATO MF O2+FO+SR Negro 47. FABRICADO EN MICROFIBRA. PUNTERA DE No lleva. PLANTILLA No lleva. SUELA DE EVA/CAUCHO-NITRILO</v>
      </c>
      <c r="F314" t="str">
        <f>PROPER(E314)</f>
        <v>Zapato Mf O2+Fo+Sr Negro 47. Fabricado En Microfibra. Puntera De No Lleva. Plantilla No Lleva. Suela De Eva/Caucho-Nitrilo</v>
      </c>
      <c r="G314" s="24">
        <v>29.56</v>
      </c>
      <c r="H314" s="24">
        <f>+G314/0.72</f>
        <v>41.055555555555557</v>
      </c>
      <c r="I314" s="24">
        <f>+H314*1.21</f>
        <v>49.67722222222222</v>
      </c>
      <c r="J314" s="24" t="s">
        <v>2361</v>
      </c>
      <c r="K314" s="24" t="s">
        <v>2373</v>
      </c>
      <c r="L314" t="s">
        <v>1392</v>
      </c>
      <c r="M314" t="s">
        <v>1407</v>
      </c>
      <c r="N314" t="s">
        <v>1427</v>
      </c>
      <c r="O314" t="s">
        <v>1427</v>
      </c>
      <c r="P314" t="s">
        <v>1431</v>
      </c>
      <c r="Q314">
        <v>47</v>
      </c>
      <c r="R314" s="2">
        <v>8457780313783</v>
      </c>
      <c r="S314" s="3" t="s">
        <v>930</v>
      </c>
      <c r="T314" s="1" t="s">
        <v>1375</v>
      </c>
      <c r="U314" t="s">
        <v>1376</v>
      </c>
    </row>
    <row r="315" spans="1:21" x14ac:dyDescent="0.25">
      <c r="A315" t="s">
        <v>255</v>
      </c>
      <c r="B315" t="s">
        <v>2237</v>
      </c>
      <c r="C315" t="s">
        <v>269</v>
      </c>
      <c r="D315" t="s">
        <v>1665</v>
      </c>
      <c r="E315" t="str">
        <f>+CONCATENATE(D315,". FABRICADO EN ",M315,". PUNTERA DE ",N315,". PLANTILLA ",O315,". SUELA DE ",P315)</f>
        <v>ZAPATO MF O2+FO+SR Negro 48. FABRICADO EN MICROFIBRA. PUNTERA DE No lleva. PLANTILLA No lleva. SUELA DE EVA/CAUCHO-NITRILO</v>
      </c>
      <c r="F315" t="str">
        <f>PROPER(E315)</f>
        <v>Zapato Mf O2+Fo+Sr Negro 48. Fabricado En Microfibra. Puntera De No Lleva. Plantilla No Lleva. Suela De Eva/Caucho-Nitrilo</v>
      </c>
      <c r="G315" s="24">
        <v>29.56</v>
      </c>
      <c r="H315" s="24">
        <f>+G315/0.72</f>
        <v>41.055555555555557</v>
      </c>
      <c r="I315" s="24">
        <f>+H315*1.21</f>
        <v>49.67722222222222</v>
      </c>
      <c r="J315" s="24" t="s">
        <v>2361</v>
      </c>
      <c r="K315" s="24" t="s">
        <v>2373</v>
      </c>
      <c r="L315" t="s">
        <v>1392</v>
      </c>
      <c r="M315" t="s">
        <v>1407</v>
      </c>
      <c r="N315" t="s">
        <v>1427</v>
      </c>
      <c r="O315" t="s">
        <v>1427</v>
      </c>
      <c r="P315" t="s">
        <v>1431</v>
      </c>
      <c r="Q315">
        <v>48</v>
      </c>
      <c r="R315" s="2">
        <v>8457780313790</v>
      </c>
      <c r="S315" s="3" t="s">
        <v>931</v>
      </c>
      <c r="T315" s="1" t="s">
        <v>1375</v>
      </c>
      <c r="U315" t="s">
        <v>1376</v>
      </c>
    </row>
    <row r="316" spans="1:21" x14ac:dyDescent="0.25">
      <c r="A316" t="s">
        <v>270</v>
      </c>
      <c r="B316" t="s">
        <v>2238</v>
      </c>
      <c r="C316" t="s">
        <v>271</v>
      </c>
      <c r="D316" t="s">
        <v>1666</v>
      </c>
      <c r="E316" t="str">
        <f>+CONCATENATE(D316,". FABRICADO EN ",M316,". PUNTERA DE ",N316,". PLANTILLA ",O316,". SUELA DE ",P316)</f>
        <v>ZAPATO MF O2+CI+SRC Blanco 35. FABRICADO EN MICROFIBRA. PUNTERA DE No lleva. PLANTILLA No lleva. SUELA DE PU/PU DOBLE DENSIDAD</v>
      </c>
      <c r="F316" t="str">
        <f>PROPER(E316)</f>
        <v>Zapato Mf O2+Ci+Src Blanco 35. Fabricado En Microfibra. Puntera De No Lleva. Plantilla No Lleva. Suela De Pu/Pu Doble Densidad</v>
      </c>
      <c r="G316" s="24">
        <f>VLOOKUP(B316,Tabla1[],2,0)</f>
        <v>16.95</v>
      </c>
      <c r="H316" s="24">
        <f>+G316/0.7</f>
        <v>24.214285714285715</v>
      </c>
      <c r="I316" s="24">
        <f>+H316*1.21</f>
        <v>29.299285714285716</v>
      </c>
      <c r="J316" s="24" t="s">
        <v>2361</v>
      </c>
      <c r="K316" s="24" t="s">
        <v>2364</v>
      </c>
      <c r="L316" t="s">
        <v>1400</v>
      </c>
      <c r="M316" t="s">
        <v>1407</v>
      </c>
      <c r="N316" t="s">
        <v>1427</v>
      </c>
      <c r="O316" t="s">
        <v>1427</v>
      </c>
      <c r="P316" t="s">
        <v>1429</v>
      </c>
      <c r="Q316">
        <v>35</v>
      </c>
      <c r="R316" s="2">
        <v>8457780313387</v>
      </c>
      <c r="S316" s="3" t="s">
        <v>932</v>
      </c>
      <c r="T316" t="s">
        <v>1338</v>
      </c>
      <c r="U316" t="s">
        <v>1339</v>
      </c>
    </row>
    <row r="317" spans="1:21" x14ac:dyDescent="0.25">
      <c r="A317" t="s">
        <v>270</v>
      </c>
      <c r="B317" t="s">
        <v>2238</v>
      </c>
      <c r="C317" t="s">
        <v>272</v>
      </c>
      <c r="D317" t="s">
        <v>1667</v>
      </c>
      <c r="E317" t="str">
        <f>+CONCATENATE(D317,". FABRICADO EN ",M317,". PUNTERA DE ",N317,". PLANTILLA ",O317,". SUELA DE ",P317)</f>
        <v>ZAPATO MF O2+CI+SRC Blanco 36. FABRICADO EN MICROFIBRA. PUNTERA DE No lleva. PLANTILLA No lleva. SUELA DE PU/PU DOBLE DENSIDAD</v>
      </c>
      <c r="F317" t="str">
        <f>PROPER(E317)</f>
        <v>Zapato Mf O2+Ci+Src Blanco 36. Fabricado En Microfibra. Puntera De No Lleva. Plantilla No Lleva. Suela De Pu/Pu Doble Densidad</v>
      </c>
      <c r="G317" s="24">
        <f>VLOOKUP(B317,Tabla1[],2,0)</f>
        <v>16.95</v>
      </c>
      <c r="H317" s="24">
        <f>+G317/0.7</f>
        <v>24.214285714285715</v>
      </c>
      <c r="I317" s="24">
        <f>+H317*1.21</f>
        <v>29.299285714285716</v>
      </c>
      <c r="J317" s="24" t="s">
        <v>2361</v>
      </c>
      <c r="K317" s="24" t="s">
        <v>2364</v>
      </c>
      <c r="L317" t="s">
        <v>1400</v>
      </c>
      <c r="M317" t="s">
        <v>1407</v>
      </c>
      <c r="N317" t="s">
        <v>1427</v>
      </c>
      <c r="O317" t="s">
        <v>1427</v>
      </c>
      <c r="P317" t="s">
        <v>1429</v>
      </c>
      <c r="Q317">
        <v>36</v>
      </c>
      <c r="R317" s="2">
        <v>8457780313394</v>
      </c>
      <c r="S317" s="3" t="s">
        <v>933</v>
      </c>
      <c r="T317" t="s">
        <v>1338</v>
      </c>
      <c r="U317" t="s">
        <v>1339</v>
      </c>
    </row>
    <row r="318" spans="1:21" x14ac:dyDescent="0.25">
      <c r="A318" t="s">
        <v>270</v>
      </c>
      <c r="B318" t="s">
        <v>2238</v>
      </c>
      <c r="C318" t="s">
        <v>273</v>
      </c>
      <c r="D318" t="s">
        <v>1668</v>
      </c>
      <c r="E318" t="str">
        <f>+CONCATENATE(D318,". FABRICADO EN ",M318,". PUNTERA DE ",N318,". PLANTILLA ",O318,". SUELA DE ",P318)</f>
        <v>ZAPATO MF O2+CI+SRC Blanco 37. FABRICADO EN MICROFIBRA. PUNTERA DE No lleva. PLANTILLA No lleva. SUELA DE PU/PU DOBLE DENSIDAD</v>
      </c>
      <c r="F318" t="str">
        <f>PROPER(E318)</f>
        <v>Zapato Mf O2+Ci+Src Blanco 37. Fabricado En Microfibra. Puntera De No Lleva. Plantilla No Lleva. Suela De Pu/Pu Doble Densidad</v>
      </c>
      <c r="G318" s="24">
        <f>VLOOKUP(B318,Tabla1[],2,0)</f>
        <v>16.95</v>
      </c>
      <c r="H318" s="24">
        <f>+G318/0.7</f>
        <v>24.214285714285715</v>
      </c>
      <c r="I318" s="24">
        <f>+H318*1.21</f>
        <v>29.299285714285716</v>
      </c>
      <c r="J318" s="24" t="s">
        <v>2361</v>
      </c>
      <c r="K318" s="24" t="s">
        <v>2364</v>
      </c>
      <c r="L318" t="s">
        <v>1400</v>
      </c>
      <c r="M318" t="s">
        <v>1407</v>
      </c>
      <c r="N318" t="s">
        <v>1427</v>
      </c>
      <c r="O318" t="s">
        <v>1427</v>
      </c>
      <c r="P318" t="s">
        <v>1429</v>
      </c>
      <c r="Q318">
        <v>37</v>
      </c>
      <c r="R318" s="2">
        <v>8457780313400</v>
      </c>
      <c r="S318" s="3" t="s">
        <v>934</v>
      </c>
      <c r="T318" t="s">
        <v>1338</v>
      </c>
      <c r="U318" t="s">
        <v>1339</v>
      </c>
    </row>
    <row r="319" spans="1:21" x14ac:dyDescent="0.25">
      <c r="A319" t="s">
        <v>270</v>
      </c>
      <c r="B319" t="s">
        <v>2238</v>
      </c>
      <c r="C319" t="s">
        <v>274</v>
      </c>
      <c r="D319" t="s">
        <v>1669</v>
      </c>
      <c r="E319" t="str">
        <f>+CONCATENATE(D319,". FABRICADO EN ",M319,". PUNTERA DE ",N319,". PLANTILLA ",O319,". SUELA DE ",P319)</f>
        <v>ZAPATO MF O2+CI+SRC Blanco 38. FABRICADO EN MICROFIBRA. PUNTERA DE No lleva. PLANTILLA No lleva. SUELA DE PU/PU DOBLE DENSIDAD</v>
      </c>
      <c r="F319" t="str">
        <f>PROPER(E319)</f>
        <v>Zapato Mf O2+Ci+Src Blanco 38. Fabricado En Microfibra. Puntera De No Lleva. Plantilla No Lleva. Suela De Pu/Pu Doble Densidad</v>
      </c>
      <c r="G319" s="24">
        <f>VLOOKUP(B319,Tabla1[],2,0)</f>
        <v>16.95</v>
      </c>
      <c r="H319" s="24">
        <f>+G319/0.7</f>
        <v>24.214285714285715</v>
      </c>
      <c r="I319" s="24">
        <f>+H319*1.21</f>
        <v>29.299285714285716</v>
      </c>
      <c r="J319" s="24" t="s">
        <v>2361</v>
      </c>
      <c r="K319" s="24" t="s">
        <v>2364</v>
      </c>
      <c r="L319" t="s">
        <v>1400</v>
      </c>
      <c r="M319" t="s">
        <v>1407</v>
      </c>
      <c r="N319" t="s">
        <v>1427</v>
      </c>
      <c r="O319" t="s">
        <v>1427</v>
      </c>
      <c r="P319" t="s">
        <v>1429</v>
      </c>
      <c r="Q319">
        <v>38</v>
      </c>
      <c r="R319" s="2">
        <v>8457780313417</v>
      </c>
      <c r="S319" s="3" t="s">
        <v>935</v>
      </c>
      <c r="T319" t="s">
        <v>1338</v>
      </c>
      <c r="U319" t="s">
        <v>1339</v>
      </c>
    </row>
    <row r="320" spans="1:21" x14ac:dyDescent="0.25">
      <c r="A320" t="s">
        <v>270</v>
      </c>
      <c r="B320" t="s">
        <v>2238</v>
      </c>
      <c r="C320" t="s">
        <v>275</v>
      </c>
      <c r="D320" t="s">
        <v>1670</v>
      </c>
      <c r="E320" t="str">
        <f>+CONCATENATE(D320,". FABRICADO EN ",M320,". PUNTERA DE ",N320,". PLANTILLA ",O320,". SUELA DE ",P320)</f>
        <v>ZAPATO MF O2+CI+SRC Blanco 39. FABRICADO EN MICROFIBRA. PUNTERA DE No lleva. PLANTILLA No lleva. SUELA DE PU/PU DOBLE DENSIDAD</v>
      </c>
      <c r="F320" t="str">
        <f>PROPER(E320)</f>
        <v>Zapato Mf O2+Ci+Src Blanco 39. Fabricado En Microfibra. Puntera De No Lleva. Plantilla No Lleva. Suela De Pu/Pu Doble Densidad</v>
      </c>
      <c r="G320" s="24">
        <f>VLOOKUP(B320,Tabla1[],2,0)</f>
        <v>16.95</v>
      </c>
      <c r="H320" s="24">
        <f>+G320/0.7</f>
        <v>24.214285714285715</v>
      </c>
      <c r="I320" s="24">
        <f>+H320*1.21</f>
        <v>29.299285714285716</v>
      </c>
      <c r="J320" s="24" t="s">
        <v>2361</v>
      </c>
      <c r="K320" s="24" t="s">
        <v>2364</v>
      </c>
      <c r="L320" t="s">
        <v>1400</v>
      </c>
      <c r="M320" t="s">
        <v>1407</v>
      </c>
      <c r="N320" t="s">
        <v>1427</v>
      </c>
      <c r="O320" t="s">
        <v>1427</v>
      </c>
      <c r="P320" t="s">
        <v>1429</v>
      </c>
      <c r="Q320">
        <v>39</v>
      </c>
      <c r="R320" s="2">
        <v>8457780313424</v>
      </c>
      <c r="S320" s="3" t="s">
        <v>936</v>
      </c>
      <c r="T320" t="s">
        <v>1338</v>
      </c>
      <c r="U320" t="s">
        <v>1339</v>
      </c>
    </row>
    <row r="321" spans="1:21" x14ac:dyDescent="0.25">
      <c r="A321" t="s">
        <v>270</v>
      </c>
      <c r="B321" t="s">
        <v>2238</v>
      </c>
      <c r="C321" t="s">
        <v>276</v>
      </c>
      <c r="D321" t="s">
        <v>1671</v>
      </c>
      <c r="E321" t="str">
        <f>+CONCATENATE(D321,". FABRICADO EN ",M321,". PUNTERA DE ",N321,". PLANTILLA ",O321,". SUELA DE ",P321)</f>
        <v>ZAPATO MF O2+CI+SRC Blanco 40. FABRICADO EN MICROFIBRA. PUNTERA DE No lleva. PLANTILLA No lleva. SUELA DE PU/PU DOBLE DENSIDAD</v>
      </c>
      <c r="F321" t="str">
        <f>PROPER(E321)</f>
        <v>Zapato Mf O2+Ci+Src Blanco 40. Fabricado En Microfibra. Puntera De No Lleva. Plantilla No Lleva. Suela De Pu/Pu Doble Densidad</v>
      </c>
      <c r="G321" s="24">
        <f>VLOOKUP(B321,Tabla1[],2,0)</f>
        <v>16.95</v>
      </c>
      <c r="H321" s="24">
        <f>+G321/0.7</f>
        <v>24.214285714285715</v>
      </c>
      <c r="I321" s="24">
        <f>+H321*1.21</f>
        <v>29.299285714285716</v>
      </c>
      <c r="J321" s="24" t="s">
        <v>2361</v>
      </c>
      <c r="K321" s="24" t="s">
        <v>2364</v>
      </c>
      <c r="L321" t="s">
        <v>1400</v>
      </c>
      <c r="M321" t="s">
        <v>1407</v>
      </c>
      <c r="N321" t="s">
        <v>1427</v>
      </c>
      <c r="O321" t="s">
        <v>1427</v>
      </c>
      <c r="P321" t="s">
        <v>1429</v>
      </c>
      <c r="Q321">
        <v>40</v>
      </c>
      <c r="R321" s="2">
        <v>8457780313431</v>
      </c>
      <c r="S321" s="3" t="s">
        <v>937</v>
      </c>
      <c r="T321" t="s">
        <v>1338</v>
      </c>
      <c r="U321" t="s">
        <v>1339</v>
      </c>
    </row>
    <row r="322" spans="1:21" x14ac:dyDescent="0.25">
      <c r="A322" t="s">
        <v>270</v>
      </c>
      <c r="B322" t="s">
        <v>2238</v>
      </c>
      <c r="C322" t="s">
        <v>277</v>
      </c>
      <c r="D322" t="s">
        <v>1672</v>
      </c>
      <c r="E322" t="str">
        <f>+CONCATENATE(D322,". FABRICADO EN ",M322,". PUNTERA DE ",N322,". PLANTILLA ",O322,". SUELA DE ",P322)</f>
        <v>ZAPATO MF O2+CI+SRC Blanco 41. FABRICADO EN MICROFIBRA. PUNTERA DE No lleva. PLANTILLA No lleva. SUELA DE PU/PU DOBLE DENSIDAD</v>
      </c>
      <c r="F322" t="str">
        <f>PROPER(E322)</f>
        <v>Zapato Mf O2+Ci+Src Blanco 41. Fabricado En Microfibra. Puntera De No Lleva. Plantilla No Lleva. Suela De Pu/Pu Doble Densidad</v>
      </c>
      <c r="G322" s="24">
        <f>VLOOKUP(B322,Tabla1[],2,0)</f>
        <v>16.95</v>
      </c>
      <c r="H322" s="24">
        <f>+G322/0.7</f>
        <v>24.214285714285715</v>
      </c>
      <c r="I322" s="24">
        <f>+H322*1.21</f>
        <v>29.299285714285716</v>
      </c>
      <c r="J322" s="24" t="s">
        <v>2361</v>
      </c>
      <c r="K322" s="24" t="s">
        <v>2364</v>
      </c>
      <c r="L322" t="s">
        <v>1400</v>
      </c>
      <c r="M322" t="s">
        <v>1407</v>
      </c>
      <c r="N322" t="s">
        <v>1427</v>
      </c>
      <c r="O322" t="s">
        <v>1427</v>
      </c>
      <c r="P322" t="s">
        <v>1429</v>
      </c>
      <c r="Q322">
        <v>41</v>
      </c>
      <c r="R322" s="2">
        <v>8457780313448</v>
      </c>
      <c r="S322" s="3" t="s">
        <v>938</v>
      </c>
      <c r="T322" t="s">
        <v>1338</v>
      </c>
      <c r="U322" t="s">
        <v>1339</v>
      </c>
    </row>
    <row r="323" spans="1:21" x14ac:dyDescent="0.25">
      <c r="A323" t="s">
        <v>270</v>
      </c>
      <c r="B323" t="s">
        <v>2238</v>
      </c>
      <c r="C323" t="s">
        <v>278</v>
      </c>
      <c r="D323" t="s">
        <v>1673</v>
      </c>
      <c r="E323" t="str">
        <f>+CONCATENATE(D323,". FABRICADO EN ",M323,". PUNTERA DE ",N323,". PLANTILLA ",O323,". SUELA DE ",P323)</f>
        <v>ZAPATO MF O2+CI+SRC Blanco 42. FABRICADO EN MICROFIBRA. PUNTERA DE No lleva. PLANTILLA No lleva. SUELA DE PU/PU DOBLE DENSIDAD</v>
      </c>
      <c r="F323" t="str">
        <f>PROPER(E323)</f>
        <v>Zapato Mf O2+Ci+Src Blanco 42. Fabricado En Microfibra. Puntera De No Lleva. Plantilla No Lleva. Suela De Pu/Pu Doble Densidad</v>
      </c>
      <c r="G323" s="24">
        <f>VLOOKUP(B323,Tabla1[],2,0)</f>
        <v>16.95</v>
      </c>
      <c r="H323" s="24">
        <f>+G323/0.7</f>
        <v>24.214285714285715</v>
      </c>
      <c r="I323" s="24">
        <f>+H323*1.21</f>
        <v>29.299285714285716</v>
      </c>
      <c r="J323" s="24" t="s">
        <v>2361</v>
      </c>
      <c r="K323" s="24" t="s">
        <v>2364</v>
      </c>
      <c r="L323" t="s">
        <v>1400</v>
      </c>
      <c r="M323" t="s">
        <v>1407</v>
      </c>
      <c r="N323" t="s">
        <v>1427</v>
      </c>
      <c r="O323" t="s">
        <v>1427</v>
      </c>
      <c r="P323" t="s">
        <v>1429</v>
      </c>
      <c r="Q323">
        <v>42</v>
      </c>
      <c r="R323" s="2">
        <v>8457780313455</v>
      </c>
      <c r="S323" s="3" t="s">
        <v>939</v>
      </c>
      <c r="T323" t="s">
        <v>1338</v>
      </c>
      <c r="U323" t="s">
        <v>1339</v>
      </c>
    </row>
    <row r="324" spans="1:21" x14ac:dyDescent="0.25">
      <c r="A324" t="s">
        <v>270</v>
      </c>
      <c r="B324" t="s">
        <v>2238</v>
      </c>
      <c r="C324" t="s">
        <v>279</v>
      </c>
      <c r="D324" t="s">
        <v>1674</v>
      </c>
      <c r="E324" t="str">
        <f>+CONCATENATE(D324,". FABRICADO EN ",M324,". PUNTERA DE ",N324,". PLANTILLA ",O324,". SUELA DE ",P324)</f>
        <v>ZAPATO MF O2+CI+SRC Blanco 43. FABRICADO EN MICROFIBRA. PUNTERA DE No lleva. PLANTILLA No lleva. SUELA DE PU/PU DOBLE DENSIDAD</v>
      </c>
      <c r="F324" t="str">
        <f>PROPER(E324)</f>
        <v>Zapato Mf O2+Ci+Src Blanco 43. Fabricado En Microfibra. Puntera De No Lleva. Plantilla No Lleva. Suela De Pu/Pu Doble Densidad</v>
      </c>
      <c r="G324" s="24">
        <f>VLOOKUP(B324,Tabla1[],2,0)</f>
        <v>16.95</v>
      </c>
      <c r="H324" s="24">
        <f>+G324/0.7</f>
        <v>24.214285714285715</v>
      </c>
      <c r="I324" s="24">
        <f>+H324*1.21</f>
        <v>29.299285714285716</v>
      </c>
      <c r="J324" s="24" t="s">
        <v>2361</v>
      </c>
      <c r="K324" s="24" t="s">
        <v>2364</v>
      </c>
      <c r="L324" t="s">
        <v>1400</v>
      </c>
      <c r="M324" t="s">
        <v>1407</v>
      </c>
      <c r="N324" t="s">
        <v>1427</v>
      </c>
      <c r="O324" t="s">
        <v>1427</v>
      </c>
      <c r="P324" t="s">
        <v>1429</v>
      </c>
      <c r="Q324">
        <v>43</v>
      </c>
      <c r="R324" s="2">
        <v>8457780313462</v>
      </c>
      <c r="S324" s="3" t="s">
        <v>940</v>
      </c>
      <c r="T324" t="s">
        <v>1338</v>
      </c>
      <c r="U324" t="s">
        <v>1339</v>
      </c>
    </row>
    <row r="325" spans="1:21" x14ac:dyDescent="0.25">
      <c r="A325" t="s">
        <v>270</v>
      </c>
      <c r="B325" t="s">
        <v>2238</v>
      </c>
      <c r="C325" t="s">
        <v>280</v>
      </c>
      <c r="D325" t="s">
        <v>1675</v>
      </c>
      <c r="E325" t="str">
        <f>+CONCATENATE(D325,". FABRICADO EN ",M325,". PUNTERA DE ",N325,". PLANTILLA ",O325,". SUELA DE ",P325)</f>
        <v>ZAPATO MF O2+CI+SRC Blanco 44. FABRICADO EN MICROFIBRA. PUNTERA DE No lleva. PLANTILLA No lleva. SUELA DE PU/PU DOBLE DENSIDAD</v>
      </c>
      <c r="F325" t="str">
        <f>PROPER(E325)</f>
        <v>Zapato Mf O2+Ci+Src Blanco 44. Fabricado En Microfibra. Puntera De No Lleva. Plantilla No Lleva. Suela De Pu/Pu Doble Densidad</v>
      </c>
      <c r="G325" s="24">
        <f>VLOOKUP(B325,Tabla1[],2,0)</f>
        <v>16.95</v>
      </c>
      <c r="H325" s="24">
        <f>+G325/0.7</f>
        <v>24.214285714285715</v>
      </c>
      <c r="I325" s="24">
        <f>+H325*1.21</f>
        <v>29.299285714285716</v>
      </c>
      <c r="J325" s="24" t="s">
        <v>2361</v>
      </c>
      <c r="K325" s="24" t="s">
        <v>2364</v>
      </c>
      <c r="L325" t="s">
        <v>1400</v>
      </c>
      <c r="M325" t="s">
        <v>1407</v>
      </c>
      <c r="N325" t="s">
        <v>1427</v>
      </c>
      <c r="O325" t="s">
        <v>1427</v>
      </c>
      <c r="P325" t="s">
        <v>1429</v>
      </c>
      <c r="Q325">
        <v>44</v>
      </c>
      <c r="R325" s="2">
        <v>8457780313479</v>
      </c>
      <c r="S325" s="3" t="s">
        <v>941</v>
      </c>
      <c r="T325" t="s">
        <v>1338</v>
      </c>
      <c r="U325" t="s">
        <v>1339</v>
      </c>
    </row>
    <row r="326" spans="1:21" x14ac:dyDescent="0.25">
      <c r="A326" t="s">
        <v>270</v>
      </c>
      <c r="B326" t="s">
        <v>2238</v>
      </c>
      <c r="C326" t="s">
        <v>281</v>
      </c>
      <c r="D326" t="s">
        <v>1676</v>
      </c>
      <c r="E326" t="str">
        <f>+CONCATENATE(D326,". FABRICADO EN ",M326,". PUNTERA DE ",N326,". PLANTILLA ",O326,". SUELA DE ",P326)</f>
        <v>ZAPATO MF O2+CI+SRC Blanco 45. FABRICADO EN MICROFIBRA. PUNTERA DE No lleva. PLANTILLA No lleva. SUELA DE PU/PU DOBLE DENSIDAD</v>
      </c>
      <c r="F326" t="str">
        <f>PROPER(E326)</f>
        <v>Zapato Mf O2+Ci+Src Blanco 45. Fabricado En Microfibra. Puntera De No Lleva. Plantilla No Lleva. Suela De Pu/Pu Doble Densidad</v>
      </c>
      <c r="G326" s="24">
        <f>VLOOKUP(B326,Tabla1[],2,0)</f>
        <v>16.95</v>
      </c>
      <c r="H326" s="24">
        <f>+G326/0.7</f>
        <v>24.214285714285715</v>
      </c>
      <c r="I326" s="24">
        <f>+H326*1.21</f>
        <v>29.299285714285716</v>
      </c>
      <c r="J326" s="24" t="s">
        <v>2361</v>
      </c>
      <c r="K326" s="24" t="s">
        <v>2364</v>
      </c>
      <c r="L326" t="s">
        <v>1400</v>
      </c>
      <c r="M326" t="s">
        <v>1407</v>
      </c>
      <c r="N326" t="s">
        <v>1427</v>
      </c>
      <c r="O326" t="s">
        <v>1427</v>
      </c>
      <c r="P326" t="s">
        <v>1429</v>
      </c>
      <c r="Q326">
        <v>45</v>
      </c>
      <c r="R326" s="2">
        <v>8457780313486</v>
      </c>
      <c r="S326" s="3" t="s">
        <v>942</v>
      </c>
      <c r="T326" t="s">
        <v>1338</v>
      </c>
      <c r="U326" t="s">
        <v>1339</v>
      </c>
    </row>
    <row r="327" spans="1:21" x14ac:dyDescent="0.25">
      <c r="A327" t="s">
        <v>270</v>
      </c>
      <c r="B327" t="s">
        <v>2238</v>
      </c>
      <c r="C327" t="s">
        <v>282</v>
      </c>
      <c r="D327" t="s">
        <v>1677</v>
      </c>
      <c r="E327" t="str">
        <f>+CONCATENATE(D327,". FABRICADO EN ",M327,". PUNTERA DE ",N327,". PLANTILLA ",O327,". SUELA DE ",P327)</f>
        <v>ZAPATO MF O2+CI+SRC Blanco 46. FABRICADO EN MICROFIBRA. PUNTERA DE No lleva. PLANTILLA No lleva. SUELA DE PU/PU DOBLE DENSIDAD</v>
      </c>
      <c r="F327" t="str">
        <f>PROPER(E327)</f>
        <v>Zapato Mf O2+Ci+Src Blanco 46. Fabricado En Microfibra. Puntera De No Lleva. Plantilla No Lleva. Suela De Pu/Pu Doble Densidad</v>
      </c>
      <c r="G327" s="24">
        <f>VLOOKUP(B327,Tabla1[],2,0)</f>
        <v>16.95</v>
      </c>
      <c r="H327" s="24">
        <f>+G327/0.7</f>
        <v>24.214285714285715</v>
      </c>
      <c r="I327" s="24">
        <f>+H327*1.21</f>
        <v>29.299285714285716</v>
      </c>
      <c r="J327" s="24" t="s">
        <v>2361</v>
      </c>
      <c r="K327" s="24" t="s">
        <v>2364</v>
      </c>
      <c r="L327" t="s">
        <v>1400</v>
      </c>
      <c r="M327" t="s">
        <v>1407</v>
      </c>
      <c r="N327" t="s">
        <v>1427</v>
      </c>
      <c r="O327" t="s">
        <v>1427</v>
      </c>
      <c r="P327" t="s">
        <v>1429</v>
      </c>
      <c r="Q327">
        <v>46</v>
      </c>
      <c r="R327" s="2">
        <v>8457780313493</v>
      </c>
      <c r="S327" s="3" t="s">
        <v>943</v>
      </c>
      <c r="T327" t="s">
        <v>1338</v>
      </c>
      <c r="U327" t="s">
        <v>1339</v>
      </c>
    </row>
    <row r="328" spans="1:21" x14ac:dyDescent="0.25">
      <c r="A328" t="s">
        <v>270</v>
      </c>
      <c r="B328" t="s">
        <v>2238</v>
      </c>
      <c r="C328" t="s">
        <v>283</v>
      </c>
      <c r="D328" t="s">
        <v>1678</v>
      </c>
      <c r="E328" t="str">
        <f>+CONCATENATE(D328,". FABRICADO EN ",M328,". PUNTERA DE ",N328,". PLANTILLA ",O328,". SUELA DE ",P328)</f>
        <v>ZAPATO MF O2+CI+SRC Blanco 47. FABRICADO EN MICROFIBRA. PUNTERA DE No lleva. PLANTILLA No lleva. SUELA DE PU/PU DOBLE DENSIDAD</v>
      </c>
      <c r="F328" t="str">
        <f>PROPER(E328)</f>
        <v>Zapato Mf O2+Ci+Src Blanco 47. Fabricado En Microfibra. Puntera De No Lleva. Plantilla No Lleva. Suela De Pu/Pu Doble Densidad</v>
      </c>
      <c r="G328" s="24">
        <f>VLOOKUP(B328,Tabla1[],2,0)</f>
        <v>16.95</v>
      </c>
      <c r="H328" s="24">
        <f>+G328/0.7</f>
        <v>24.214285714285715</v>
      </c>
      <c r="I328" s="24">
        <f>+H328*1.21</f>
        <v>29.299285714285716</v>
      </c>
      <c r="J328" s="24" t="s">
        <v>2361</v>
      </c>
      <c r="K328" s="24" t="s">
        <v>2364</v>
      </c>
      <c r="L328" t="s">
        <v>1400</v>
      </c>
      <c r="M328" t="s">
        <v>1407</v>
      </c>
      <c r="N328" t="s">
        <v>1427</v>
      </c>
      <c r="O328" t="s">
        <v>1427</v>
      </c>
      <c r="P328" t="s">
        <v>1429</v>
      </c>
      <c r="Q328">
        <v>47</v>
      </c>
      <c r="R328" s="2">
        <v>8457780313509</v>
      </c>
      <c r="S328" s="3" t="s">
        <v>944</v>
      </c>
      <c r="T328" t="s">
        <v>1338</v>
      </c>
      <c r="U328" t="s">
        <v>1339</v>
      </c>
    </row>
    <row r="329" spans="1:21" x14ac:dyDescent="0.25">
      <c r="A329" t="s">
        <v>270</v>
      </c>
      <c r="B329" t="s">
        <v>2238</v>
      </c>
      <c r="C329" t="s">
        <v>284</v>
      </c>
      <c r="D329" t="s">
        <v>1679</v>
      </c>
      <c r="E329" t="str">
        <f>+CONCATENATE(D329,". FABRICADO EN ",M329,". PUNTERA DE ",N329,". PLANTILLA ",O329,". SUELA DE ",P329)</f>
        <v>ZAPATO MF O2+CI+SRC Blanco 48. FABRICADO EN MICROFIBRA. PUNTERA DE No lleva. PLANTILLA No lleva. SUELA DE PU/PU DOBLE DENSIDAD</v>
      </c>
      <c r="F329" t="str">
        <f>PROPER(E329)</f>
        <v>Zapato Mf O2+Ci+Src Blanco 48. Fabricado En Microfibra. Puntera De No Lleva. Plantilla No Lleva. Suela De Pu/Pu Doble Densidad</v>
      </c>
      <c r="G329" s="24">
        <f>VLOOKUP(B329,Tabla1[],2,0)</f>
        <v>16.95</v>
      </c>
      <c r="H329" s="24">
        <f>+G329/0.7</f>
        <v>24.214285714285715</v>
      </c>
      <c r="I329" s="24">
        <f>+H329*1.21</f>
        <v>29.299285714285716</v>
      </c>
      <c r="J329" s="24" t="s">
        <v>2361</v>
      </c>
      <c r="K329" s="24" t="s">
        <v>2364</v>
      </c>
      <c r="L329" t="s">
        <v>1400</v>
      </c>
      <c r="M329" t="s">
        <v>1407</v>
      </c>
      <c r="N329" t="s">
        <v>1427</v>
      </c>
      <c r="O329" t="s">
        <v>1427</v>
      </c>
      <c r="P329" t="s">
        <v>1429</v>
      </c>
      <c r="Q329">
        <v>48</v>
      </c>
      <c r="R329" s="2">
        <v>8457780313516</v>
      </c>
      <c r="S329" s="3" t="s">
        <v>945</v>
      </c>
      <c r="T329" t="s">
        <v>1338</v>
      </c>
      <c r="U329" t="s">
        <v>1339</v>
      </c>
    </row>
    <row r="330" spans="1:21" x14ac:dyDescent="0.25">
      <c r="A330" t="s">
        <v>285</v>
      </c>
      <c r="B330" t="s">
        <v>2239</v>
      </c>
      <c r="C330" t="s">
        <v>286</v>
      </c>
      <c r="D330" t="s">
        <v>1680</v>
      </c>
      <c r="E330" t="str">
        <f>+CONCATENATE(D330,". FABRICADO EN ",M330,". PUNTERA DE ",N330,". PLANTILLA ",O330,". SUELA DE ",P330)</f>
        <v>ZAPATO MUJER MF S3+CI+SRC+ESD Negro 34. FABRICADO EN MICROFIBRA ACABADO NOBUCK. PUNTERA DE Fibra de vidrio. PLANTILLA Antiperforación textil. SUELA DE PU/PU DOBLE DENSIDAD</v>
      </c>
      <c r="F330" t="str">
        <f>PROPER(E330)</f>
        <v>Zapato Mujer Mf S3+Ci+Src+Esd Negro 34. Fabricado En Microfibra Acabado Nobuck. Puntera De Fibra De Vidrio. Plantilla Antiperforación Textil. Suela De Pu/Pu Doble Densidad</v>
      </c>
      <c r="G330" s="24">
        <f>VLOOKUP(B330,Tabla1[],2,0)</f>
        <v>24.56</v>
      </c>
      <c r="H330" s="24">
        <f>+G330/0.72</f>
        <v>34.111111111111107</v>
      </c>
      <c r="I330" s="24">
        <f>+H330*1.21</f>
        <v>41.274444444444441</v>
      </c>
      <c r="J330" s="24" t="s">
        <v>2359</v>
      </c>
      <c r="K330" s="24" t="s">
        <v>2365</v>
      </c>
      <c r="L330" t="s">
        <v>1392</v>
      </c>
      <c r="M330" t="s">
        <v>1422</v>
      </c>
      <c r="N330" t="s">
        <v>1425</v>
      </c>
      <c r="O330" t="s">
        <v>1428</v>
      </c>
      <c r="P330" t="s">
        <v>1429</v>
      </c>
      <c r="Q330">
        <v>34</v>
      </c>
      <c r="R330" s="2">
        <v>8457780310638</v>
      </c>
      <c r="S330" s="3" t="s">
        <v>946</v>
      </c>
      <c r="T330" t="s">
        <v>1315</v>
      </c>
      <c r="U330" t="s">
        <v>1316</v>
      </c>
    </row>
    <row r="331" spans="1:21" x14ac:dyDescent="0.25">
      <c r="A331" t="s">
        <v>285</v>
      </c>
      <c r="B331" t="s">
        <v>2239</v>
      </c>
      <c r="C331" t="s">
        <v>287</v>
      </c>
      <c r="D331" t="s">
        <v>1681</v>
      </c>
      <c r="E331" t="str">
        <f>+CONCATENATE(D331,". FABRICADO EN ",M331,". PUNTERA DE ",N331,". PLANTILLA ",O331,". SUELA DE ",P331)</f>
        <v>ZAPATO MUJER MF S3+CI+SRC+ESD Negro 35. FABRICADO EN MICROFIBRA ACABADO NOBUCK. PUNTERA DE Fibra de vidrio. PLANTILLA Antiperforación textil. SUELA DE PU/PU DOBLE DENSIDAD</v>
      </c>
      <c r="F331" t="str">
        <f>PROPER(E331)</f>
        <v>Zapato Mujer Mf S3+Ci+Src+Esd Negro 35. Fabricado En Microfibra Acabado Nobuck. Puntera De Fibra De Vidrio. Plantilla Antiperforación Textil. Suela De Pu/Pu Doble Densidad</v>
      </c>
      <c r="G331" s="24">
        <f>VLOOKUP(B331,Tabla1[],2,0)</f>
        <v>24.56</v>
      </c>
      <c r="H331" s="24">
        <f>+G331/0.72</f>
        <v>34.111111111111107</v>
      </c>
      <c r="I331" s="24">
        <f>+H331*1.21</f>
        <v>41.274444444444441</v>
      </c>
      <c r="J331" s="24" t="s">
        <v>2359</v>
      </c>
      <c r="K331" s="24" t="s">
        <v>2365</v>
      </c>
      <c r="L331" t="s">
        <v>1392</v>
      </c>
      <c r="M331" t="s">
        <v>1422</v>
      </c>
      <c r="N331" t="s">
        <v>1425</v>
      </c>
      <c r="O331" t="s">
        <v>1428</v>
      </c>
      <c r="P331" t="s">
        <v>1429</v>
      </c>
      <c r="Q331">
        <v>35</v>
      </c>
      <c r="R331" s="2">
        <v>8457780310645</v>
      </c>
      <c r="S331" s="3" t="s">
        <v>947</v>
      </c>
      <c r="T331" t="s">
        <v>1315</v>
      </c>
      <c r="U331" t="s">
        <v>1316</v>
      </c>
    </row>
    <row r="332" spans="1:21" x14ac:dyDescent="0.25">
      <c r="A332" t="s">
        <v>285</v>
      </c>
      <c r="B332" t="s">
        <v>2239</v>
      </c>
      <c r="C332" t="s">
        <v>288</v>
      </c>
      <c r="D332" t="s">
        <v>1682</v>
      </c>
      <c r="E332" t="str">
        <f>+CONCATENATE(D332,". FABRICADO EN ",M332,". PUNTERA DE ",N332,". PLANTILLA ",O332,". SUELA DE ",P332)</f>
        <v>ZAPATO MUJER MF S3+CI+SRC+ESD Negro 36. FABRICADO EN MICROFIBRA ACABADO NOBUCK. PUNTERA DE Fibra de vidrio. PLANTILLA Antiperforación textil. SUELA DE PU/PU DOBLE DENSIDAD</v>
      </c>
      <c r="F332" t="str">
        <f>PROPER(E332)</f>
        <v>Zapato Mujer Mf S3+Ci+Src+Esd Negro 36. Fabricado En Microfibra Acabado Nobuck. Puntera De Fibra De Vidrio. Plantilla Antiperforación Textil. Suela De Pu/Pu Doble Densidad</v>
      </c>
      <c r="G332" s="24">
        <f>VLOOKUP(B332,Tabla1[],2,0)</f>
        <v>24.56</v>
      </c>
      <c r="H332" s="24">
        <f>+G332/0.72</f>
        <v>34.111111111111107</v>
      </c>
      <c r="I332" s="24">
        <f>+H332*1.21</f>
        <v>41.274444444444441</v>
      </c>
      <c r="J332" s="24" t="s">
        <v>2359</v>
      </c>
      <c r="K332" s="24" t="s">
        <v>2365</v>
      </c>
      <c r="L332" t="s">
        <v>1392</v>
      </c>
      <c r="M332" t="s">
        <v>1422</v>
      </c>
      <c r="N332" t="s">
        <v>1425</v>
      </c>
      <c r="O332" t="s">
        <v>1428</v>
      </c>
      <c r="P332" t="s">
        <v>1429</v>
      </c>
      <c r="Q332">
        <v>36</v>
      </c>
      <c r="R332" s="2">
        <v>8457780310652</v>
      </c>
      <c r="S332" s="3" t="s">
        <v>948</v>
      </c>
      <c r="T332" t="s">
        <v>1315</v>
      </c>
      <c r="U332" t="s">
        <v>1316</v>
      </c>
    </row>
    <row r="333" spans="1:21" x14ac:dyDescent="0.25">
      <c r="A333" t="s">
        <v>285</v>
      </c>
      <c r="B333" t="s">
        <v>2239</v>
      </c>
      <c r="C333" t="s">
        <v>289</v>
      </c>
      <c r="D333" t="s">
        <v>1683</v>
      </c>
      <c r="E333" t="str">
        <f>+CONCATENATE(D333,". FABRICADO EN ",M333,". PUNTERA DE ",N333,". PLANTILLA ",O333,". SUELA DE ",P333)</f>
        <v>ZAPATO MUJER MF S3+CI+SRC+ESD Negro 37. FABRICADO EN MICROFIBRA ACABADO NOBUCK. PUNTERA DE Fibra de vidrio. PLANTILLA Antiperforación textil. SUELA DE PU/PU DOBLE DENSIDAD</v>
      </c>
      <c r="F333" t="str">
        <f>PROPER(E333)</f>
        <v>Zapato Mujer Mf S3+Ci+Src+Esd Negro 37. Fabricado En Microfibra Acabado Nobuck. Puntera De Fibra De Vidrio. Plantilla Antiperforación Textil. Suela De Pu/Pu Doble Densidad</v>
      </c>
      <c r="G333" s="24">
        <f>VLOOKUP(B333,Tabla1[],2,0)</f>
        <v>24.56</v>
      </c>
      <c r="H333" s="24">
        <f>+G333/0.72</f>
        <v>34.111111111111107</v>
      </c>
      <c r="I333" s="24">
        <f>+H333*1.21</f>
        <v>41.274444444444441</v>
      </c>
      <c r="J333" s="24" t="s">
        <v>2359</v>
      </c>
      <c r="K333" s="24" t="s">
        <v>2365</v>
      </c>
      <c r="L333" t="s">
        <v>1392</v>
      </c>
      <c r="M333" t="s">
        <v>1422</v>
      </c>
      <c r="N333" t="s">
        <v>1425</v>
      </c>
      <c r="O333" t="s">
        <v>1428</v>
      </c>
      <c r="P333" t="s">
        <v>1429</v>
      </c>
      <c r="Q333">
        <v>37</v>
      </c>
      <c r="R333" s="2">
        <v>8457780310669</v>
      </c>
      <c r="S333" s="3" t="s">
        <v>949</v>
      </c>
      <c r="T333" t="s">
        <v>1315</v>
      </c>
      <c r="U333" t="s">
        <v>1316</v>
      </c>
    </row>
    <row r="334" spans="1:21" x14ac:dyDescent="0.25">
      <c r="A334" t="s">
        <v>285</v>
      </c>
      <c r="B334" t="s">
        <v>2239</v>
      </c>
      <c r="C334" t="s">
        <v>290</v>
      </c>
      <c r="D334" t="s">
        <v>1684</v>
      </c>
      <c r="E334" t="str">
        <f>+CONCATENATE(D334,". FABRICADO EN ",M334,". PUNTERA DE ",N334,". PLANTILLA ",O334,". SUELA DE ",P334)</f>
        <v>ZAPATO MUJER MF S3+CI+SRC+ESD Negro 38. FABRICADO EN MICROFIBRA ACABADO NOBUCK. PUNTERA DE Fibra de vidrio. PLANTILLA Antiperforación textil. SUELA DE PU/PU DOBLE DENSIDAD</v>
      </c>
      <c r="F334" t="str">
        <f>PROPER(E334)</f>
        <v>Zapato Mujer Mf S3+Ci+Src+Esd Negro 38. Fabricado En Microfibra Acabado Nobuck. Puntera De Fibra De Vidrio. Plantilla Antiperforación Textil. Suela De Pu/Pu Doble Densidad</v>
      </c>
      <c r="G334" s="24">
        <f>VLOOKUP(B334,Tabla1[],2,0)</f>
        <v>24.56</v>
      </c>
      <c r="H334" s="24">
        <f>+G334/0.72</f>
        <v>34.111111111111107</v>
      </c>
      <c r="I334" s="24">
        <f>+H334*1.21</f>
        <v>41.274444444444441</v>
      </c>
      <c r="J334" s="24" t="s">
        <v>2359</v>
      </c>
      <c r="K334" s="24" t="s">
        <v>2365</v>
      </c>
      <c r="L334" t="s">
        <v>1392</v>
      </c>
      <c r="M334" t="s">
        <v>1422</v>
      </c>
      <c r="N334" t="s">
        <v>1425</v>
      </c>
      <c r="O334" t="s">
        <v>1428</v>
      </c>
      <c r="P334" t="s">
        <v>1429</v>
      </c>
      <c r="Q334">
        <v>38</v>
      </c>
      <c r="R334" s="2">
        <v>8457780310676</v>
      </c>
      <c r="S334" s="3" t="s">
        <v>950</v>
      </c>
      <c r="T334" t="s">
        <v>1315</v>
      </c>
      <c r="U334" t="s">
        <v>1316</v>
      </c>
    </row>
    <row r="335" spans="1:21" x14ac:dyDescent="0.25">
      <c r="A335" t="s">
        <v>285</v>
      </c>
      <c r="B335" t="s">
        <v>2239</v>
      </c>
      <c r="C335" t="s">
        <v>291</v>
      </c>
      <c r="D335" t="s">
        <v>1685</v>
      </c>
      <c r="E335" t="str">
        <f>+CONCATENATE(D335,". FABRICADO EN ",M335,". PUNTERA DE ",N335,". PLANTILLA ",O335,". SUELA DE ",P335)</f>
        <v>ZAPATO MUJER MF S3+CI+SRC+ESD Negro 39. FABRICADO EN MICROFIBRA ACABADO NOBUCK. PUNTERA DE Fibra de vidrio. PLANTILLA Antiperforación textil. SUELA DE PU/PU DOBLE DENSIDAD</v>
      </c>
      <c r="F335" t="str">
        <f>PROPER(E335)</f>
        <v>Zapato Mujer Mf S3+Ci+Src+Esd Negro 39. Fabricado En Microfibra Acabado Nobuck. Puntera De Fibra De Vidrio. Plantilla Antiperforación Textil. Suela De Pu/Pu Doble Densidad</v>
      </c>
      <c r="G335" s="24">
        <f>VLOOKUP(B335,Tabla1[],2,0)</f>
        <v>24.56</v>
      </c>
      <c r="H335" s="24">
        <f>+G335/0.72</f>
        <v>34.111111111111107</v>
      </c>
      <c r="I335" s="24">
        <f>+H335*1.21</f>
        <v>41.274444444444441</v>
      </c>
      <c r="J335" s="24" t="s">
        <v>2359</v>
      </c>
      <c r="K335" s="24" t="s">
        <v>2365</v>
      </c>
      <c r="L335" t="s">
        <v>1392</v>
      </c>
      <c r="M335" t="s">
        <v>1422</v>
      </c>
      <c r="N335" t="s">
        <v>1425</v>
      </c>
      <c r="O335" t="s">
        <v>1428</v>
      </c>
      <c r="P335" t="s">
        <v>1429</v>
      </c>
      <c r="Q335">
        <v>39</v>
      </c>
      <c r="R335" s="2">
        <v>8457780310683</v>
      </c>
      <c r="S335" s="3" t="s">
        <v>951</v>
      </c>
      <c r="T335" t="s">
        <v>1315</v>
      </c>
      <c r="U335" t="s">
        <v>1316</v>
      </c>
    </row>
    <row r="336" spans="1:21" x14ac:dyDescent="0.25">
      <c r="A336" t="s">
        <v>285</v>
      </c>
      <c r="B336" t="s">
        <v>2239</v>
      </c>
      <c r="C336" t="s">
        <v>292</v>
      </c>
      <c r="D336" t="s">
        <v>1686</v>
      </c>
      <c r="E336" t="str">
        <f>+CONCATENATE(D336,". FABRICADO EN ",M336,". PUNTERA DE ",N336,". PLANTILLA ",O336,". SUELA DE ",P336)</f>
        <v>ZAPATO MUJER MF S3+CI+SRC+ESD Negro 40. FABRICADO EN MICROFIBRA ACABADO NOBUCK. PUNTERA DE Fibra de vidrio. PLANTILLA Antiperforación textil. SUELA DE PU/PU DOBLE DENSIDAD</v>
      </c>
      <c r="F336" t="str">
        <f>PROPER(E336)</f>
        <v>Zapato Mujer Mf S3+Ci+Src+Esd Negro 40. Fabricado En Microfibra Acabado Nobuck. Puntera De Fibra De Vidrio. Plantilla Antiperforación Textil. Suela De Pu/Pu Doble Densidad</v>
      </c>
      <c r="G336" s="24">
        <f>VLOOKUP(B336,Tabla1[],2,0)</f>
        <v>24.56</v>
      </c>
      <c r="H336" s="24">
        <f>+G336/0.72</f>
        <v>34.111111111111107</v>
      </c>
      <c r="I336" s="24">
        <f>+H336*1.21</f>
        <v>41.274444444444441</v>
      </c>
      <c r="J336" s="24" t="s">
        <v>2359</v>
      </c>
      <c r="K336" s="24" t="s">
        <v>2365</v>
      </c>
      <c r="L336" t="s">
        <v>1392</v>
      </c>
      <c r="M336" t="s">
        <v>1422</v>
      </c>
      <c r="N336" t="s">
        <v>1425</v>
      </c>
      <c r="O336" t="s">
        <v>1428</v>
      </c>
      <c r="P336" t="s">
        <v>1429</v>
      </c>
      <c r="Q336">
        <v>40</v>
      </c>
      <c r="R336" s="2">
        <v>8457780310690</v>
      </c>
      <c r="S336" s="3" t="s">
        <v>952</v>
      </c>
      <c r="T336" t="s">
        <v>1315</v>
      </c>
      <c r="U336" t="s">
        <v>1316</v>
      </c>
    </row>
    <row r="337" spans="1:21" x14ac:dyDescent="0.25">
      <c r="A337" t="s">
        <v>285</v>
      </c>
      <c r="B337" t="s">
        <v>2239</v>
      </c>
      <c r="C337" t="s">
        <v>293</v>
      </c>
      <c r="D337" t="s">
        <v>1687</v>
      </c>
      <c r="E337" t="str">
        <f>+CONCATENATE(D337,". FABRICADO EN ",M337,". PUNTERA DE ",N337,". PLANTILLA ",O337,". SUELA DE ",P337)</f>
        <v>ZAPATO MUJER MF S3+CI+SRC+ESD Negro 41. FABRICADO EN MICROFIBRA ACABADO NOBUCK. PUNTERA DE Fibra de vidrio. PLANTILLA Antiperforación textil. SUELA DE PU/PU DOBLE DENSIDAD</v>
      </c>
      <c r="F337" t="str">
        <f>PROPER(E337)</f>
        <v>Zapato Mujer Mf S3+Ci+Src+Esd Negro 41. Fabricado En Microfibra Acabado Nobuck. Puntera De Fibra De Vidrio. Plantilla Antiperforación Textil. Suela De Pu/Pu Doble Densidad</v>
      </c>
      <c r="G337" s="24">
        <f>VLOOKUP(B337,Tabla1[],2,0)</f>
        <v>24.56</v>
      </c>
      <c r="H337" s="24">
        <f>+G337/0.72</f>
        <v>34.111111111111107</v>
      </c>
      <c r="I337" s="24">
        <f>+H337*1.21</f>
        <v>41.274444444444441</v>
      </c>
      <c r="J337" s="24" t="s">
        <v>2359</v>
      </c>
      <c r="K337" s="24" t="s">
        <v>2365</v>
      </c>
      <c r="L337" t="s">
        <v>1392</v>
      </c>
      <c r="M337" t="s">
        <v>1422</v>
      </c>
      <c r="N337" t="s">
        <v>1425</v>
      </c>
      <c r="O337" t="s">
        <v>1428</v>
      </c>
      <c r="P337" t="s">
        <v>1429</v>
      </c>
      <c r="Q337">
        <v>41</v>
      </c>
      <c r="R337" s="2">
        <v>8457780310706</v>
      </c>
      <c r="S337" s="3" t="s">
        <v>953</v>
      </c>
      <c r="T337" t="s">
        <v>1315</v>
      </c>
      <c r="U337" t="s">
        <v>1316</v>
      </c>
    </row>
    <row r="338" spans="1:21" x14ac:dyDescent="0.25">
      <c r="A338" t="s">
        <v>294</v>
      </c>
      <c r="B338" t="s">
        <v>2240</v>
      </c>
      <c r="C338" t="s">
        <v>295</v>
      </c>
      <c r="D338" t="s">
        <v>1688</v>
      </c>
      <c r="E338" t="str">
        <f>+CONCATENATE(D338,". FABRICADO EN ",M338,". PUNTERA DE ",N338,". PLANTILLA ",O338,". SUELA DE ",P338)</f>
        <v xml:space="preserve">ZAPATO MF O1+CI+SRC Blanco 35. FABRICADO EN MICROFIBRA. PUNTERA DE No lleva. PLANTILLA No lleva. SUELA DE PU </v>
      </c>
      <c r="F338" t="str">
        <f>PROPER(E338)</f>
        <v xml:space="preserve">Zapato Mf O1+Ci+Src Blanco 35. Fabricado En Microfibra. Puntera De No Lleva. Plantilla No Lleva. Suela De Pu </v>
      </c>
      <c r="G338" s="24">
        <f>VLOOKUP(B338,Tabla1[],2,0)</f>
        <v>13.25</v>
      </c>
      <c r="H338" s="24">
        <f>+G338/0.7</f>
        <v>18.928571428571431</v>
      </c>
      <c r="I338" s="24">
        <f>+H338*1.21</f>
        <v>22.903571428571432</v>
      </c>
      <c r="J338" s="24" t="s">
        <v>2361</v>
      </c>
      <c r="K338" s="24" t="s">
        <v>2373</v>
      </c>
      <c r="L338" t="s">
        <v>1400</v>
      </c>
      <c r="M338" t="s">
        <v>1407</v>
      </c>
      <c r="N338" t="s">
        <v>1427</v>
      </c>
      <c r="O338" t="s">
        <v>1427</v>
      </c>
      <c r="P338" t="s">
        <v>1430</v>
      </c>
      <c r="Q338">
        <v>35</v>
      </c>
      <c r="R338" s="2">
        <v>8457780313240</v>
      </c>
      <c r="S338" s="3" t="s">
        <v>954</v>
      </c>
      <c r="T338" t="s">
        <v>1334</v>
      </c>
      <c r="U338" t="s">
        <v>1335</v>
      </c>
    </row>
    <row r="339" spans="1:21" x14ac:dyDescent="0.25">
      <c r="A339" t="s">
        <v>294</v>
      </c>
      <c r="B339" t="s">
        <v>2240</v>
      </c>
      <c r="C339" t="s">
        <v>296</v>
      </c>
      <c r="D339" t="s">
        <v>1689</v>
      </c>
      <c r="E339" t="str">
        <f>+CONCATENATE(D339,". FABRICADO EN ",M339,". PUNTERA DE ",N339,". PLANTILLA ",O339,". SUELA DE ",P339)</f>
        <v xml:space="preserve">ZAPATO MF O1+CI+SRC Blanco 36. FABRICADO EN MICROFIBRA. PUNTERA DE No lleva. PLANTILLA No lleva. SUELA DE PU </v>
      </c>
      <c r="F339" t="str">
        <f>PROPER(E339)</f>
        <v xml:space="preserve">Zapato Mf O1+Ci+Src Blanco 36. Fabricado En Microfibra. Puntera De No Lleva. Plantilla No Lleva. Suela De Pu </v>
      </c>
      <c r="G339" s="24">
        <f>VLOOKUP(B339,Tabla1[],2,0)</f>
        <v>13.25</v>
      </c>
      <c r="H339" s="24">
        <f>+G339/0.7</f>
        <v>18.928571428571431</v>
      </c>
      <c r="I339" s="24">
        <f>+H339*1.21</f>
        <v>22.903571428571432</v>
      </c>
      <c r="J339" s="24" t="s">
        <v>2361</v>
      </c>
      <c r="K339" s="24" t="s">
        <v>2373</v>
      </c>
      <c r="L339" t="s">
        <v>1400</v>
      </c>
      <c r="M339" t="s">
        <v>1407</v>
      </c>
      <c r="N339" t="s">
        <v>1427</v>
      </c>
      <c r="O339" t="s">
        <v>1427</v>
      </c>
      <c r="P339" t="s">
        <v>1430</v>
      </c>
      <c r="Q339">
        <v>36</v>
      </c>
      <c r="R339" s="2">
        <v>8457780313257</v>
      </c>
      <c r="S339" s="3" t="s">
        <v>955</v>
      </c>
      <c r="T339" t="s">
        <v>1334</v>
      </c>
      <c r="U339" t="s">
        <v>1335</v>
      </c>
    </row>
    <row r="340" spans="1:21" x14ac:dyDescent="0.25">
      <c r="A340" t="s">
        <v>294</v>
      </c>
      <c r="B340" t="s">
        <v>2240</v>
      </c>
      <c r="C340" t="s">
        <v>297</v>
      </c>
      <c r="D340" t="s">
        <v>1690</v>
      </c>
      <c r="E340" t="str">
        <f>+CONCATENATE(D340,". FABRICADO EN ",M340,". PUNTERA DE ",N340,". PLANTILLA ",O340,". SUELA DE ",P340)</f>
        <v xml:space="preserve">ZAPATO MF O1+CI+SRC Blanco 37. FABRICADO EN MICROFIBRA. PUNTERA DE No lleva. PLANTILLA No lleva. SUELA DE PU </v>
      </c>
      <c r="F340" t="str">
        <f>PROPER(E340)</f>
        <v xml:space="preserve">Zapato Mf O1+Ci+Src Blanco 37. Fabricado En Microfibra. Puntera De No Lleva. Plantilla No Lleva. Suela De Pu </v>
      </c>
      <c r="G340" s="24">
        <f>VLOOKUP(B340,Tabla1[],2,0)</f>
        <v>13.25</v>
      </c>
      <c r="H340" s="24">
        <f>+G340/0.7</f>
        <v>18.928571428571431</v>
      </c>
      <c r="I340" s="24">
        <f>+H340*1.21</f>
        <v>22.903571428571432</v>
      </c>
      <c r="J340" s="24" t="s">
        <v>2361</v>
      </c>
      <c r="K340" s="24" t="s">
        <v>2373</v>
      </c>
      <c r="L340" t="s">
        <v>1400</v>
      </c>
      <c r="M340" t="s">
        <v>1407</v>
      </c>
      <c r="N340" t="s">
        <v>1427</v>
      </c>
      <c r="O340" t="s">
        <v>1427</v>
      </c>
      <c r="P340" t="s">
        <v>1430</v>
      </c>
      <c r="Q340">
        <v>37</v>
      </c>
      <c r="R340" s="2">
        <v>8457780313264</v>
      </c>
      <c r="S340" s="3" t="s">
        <v>956</v>
      </c>
      <c r="T340" t="s">
        <v>1334</v>
      </c>
      <c r="U340" t="s">
        <v>1335</v>
      </c>
    </row>
    <row r="341" spans="1:21" x14ac:dyDescent="0.25">
      <c r="A341" t="s">
        <v>294</v>
      </c>
      <c r="B341" t="s">
        <v>2240</v>
      </c>
      <c r="C341" t="s">
        <v>298</v>
      </c>
      <c r="D341" t="s">
        <v>1691</v>
      </c>
      <c r="E341" t="str">
        <f>+CONCATENATE(D341,". FABRICADO EN ",M341,". PUNTERA DE ",N341,". PLANTILLA ",O341,". SUELA DE ",P341)</f>
        <v xml:space="preserve">ZAPATO MF O1+CI+SRC Blanco 38. FABRICADO EN MICROFIBRA. PUNTERA DE No lleva. PLANTILLA No lleva. SUELA DE PU </v>
      </c>
      <c r="F341" t="str">
        <f>PROPER(E341)</f>
        <v xml:space="preserve">Zapato Mf O1+Ci+Src Blanco 38. Fabricado En Microfibra. Puntera De No Lleva. Plantilla No Lleva. Suela De Pu </v>
      </c>
      <c r="G341" s="24">
        <f>VLOOKUP(B341,Tabla1[],2,0)</f>
        <v>13.25</v>
      </c>
      <c r="H341" s="24">
        <f>+G341/0.7</f>
        <v>18.928571428571431</v>
      </c>
      <c r="I341" s="24">
        <f>+H341*1.21</f>
        <v>22.903571428571432</v>
      </c>
      <c r="J341" s="24" t="s">
        <v>2361</v>
      </c>
      <c r="K341" s="24" t="s">
        <v>2373</v>
      </c>
      <c r="L341" t="s">
        <v>1400</v>
      </c>
      <c r="M341" t="s">
        <v>1407</v>
      </c>
      <c r="N341" t="s">
        <v>1427</v>
      </c>
      <c r="O341" t="s">
        <v>1427</v>
      </c>
      <c r="P341" t="s">
        <v>1430</v>
      </c>
      <c r="Q341">
        <v>38</v>
      </c>
      <c r="R341" s="2">
        <v>8457780313271</v>
      </c>
      <c r="S341" s="3" t="s">
        <v>957</v>
      </c>
      <c r="T341" t="s">
        <v>1334</v>
      </c>
      <c r="U341" t="s">
        <v>1335</v>
      </c>
    </row>
    <row r="342" spans="1:21" x14ac:dyDescent="0.25">
      <c r="A342" t="s">
        <v>294</v>
      </c>
      <c r="B342" t="s">
        <v>2240</v>
      </c>
      <c r="C342" t="s">
        <v>299</v>
      </c>
      <c r="D342" t="s">
        <v>1692</v>
      </c>
      <c r="E342" t="str">
        <f>+CONCATENATE(D342,". FABRICADO EN ",M342,". PUNTERA DE ",N342,". PLANTILLA ",O342,". SUELA DE ",P342)</f>
        <v xml:space="preserve">ZAPATO MF O1+CI+SRC Blanco 39. FABRICADO EN MICROFIBRA. PUNTERA DE No lleva. PLANTILLA No lleva. SUELA DE PU </v>
      </c>
      <c r="F342" t="str">
        <f>PROPER(E342)</f>
        <v xml:space="preserve">Zapato Mf O1+Ci+Src Blanco 39. Fabricado En Microfibra. Puntera De No Lleva. Plantilla No Lleva. Suela De Pu </v>
      </c>
      <c r="G342" s="24">
        <f>VLOOKUP(B342,Tabla1[],2,0)</f>
        <v>13.25</v>
      </c>
      <c r="H342" s="24">
        <f>+G342/0.7</f>
        <v>18.928571428571431</v>
      </c>
      <c r="I342" s="24">
        <f>+H342*1.21</f>
        <v>22.903571428571432</v>
      </c>
      <c r="J342" s="24" t="s">
        <v>2361</v>
      </c>
      <c r="K342" s="24" t="s">
        <v>2373</v>
      </c>
      <c r="L342" t="s">
        <v>1400</v>
      </c>
      <c r="M342" t="s">
        <v>1407</v>
      </c>
      <c r="N342" t="s">
        <v>1427</v>
      </c>
      <c r="O342" t="s">
        <v>1427</v>
      </c>
      <c r="P342" t="s">
        <v>1430</v>
      </c>
      <c r="Q342">
        <v>39</v>
      </c>
      <c r="R342" s="2">
        <v>8457780313288</v>
      </c>
      <c r="S342" s="3" t="s">
        <v>958</v>
      </c>
      <c r="T342" t="s">
        <v>1334</v>
      </c>
      <c r="U342" t="s">
        <v>1335</v>
      </c>
    </row>
    <row r="343" spans="1:21" x14ac:dyDescent="0.25">
      <c r="A343" t="s">
        <v>294</v>
      </c>
      <c r="B343" t="s">
        <v>2240</v>
      </c>
      <c r="C343" t="s">
        <v>300</v>
      </c>
      <c r="D343" t="s">
        <v>1693</v>
      </c>
      <c r="E343" t="str">
        <f>+CONCATENATE(D343,". FABRICADO EN ",M343,". PUNTERA DE ",N343,". PLANTILLA ",O343,". SUELA DE ",P343)</f>
        <v xml:space="preserve">ZAPATO MF O1+CI+SRC Blanco 40. FABRICADO EN MICROFIBRA. PUNTERA DE No lleva. PLANTILLA No lleva. SUELA DE PU </v>
      </c>
      <c r="F343" t="str">
        <f>PROPER(E343)</f>
        <v xml:space="preserve">Zapato Mf O1+Ci+Src Blanco 40. Fabricado En Microfibra. Puntera De No Lleva. Plantilla No Lleva. Suela De Pu </v>
      </c>
      <c r="G343" s="24">
        <f>VLOOKUP(B343,Tabla1[],2,0)</f>
        <v>13.25</v>
      </c>
      <c r="H343" s="24">
        <f>+G343/0.7</f>
        <v>18.928571428571431</v>
      </c>
      <c r="I343" s="24">
        <f>+H343*1.21</f>
        <v>22.903571428571432</v>
      </c>
      <c r="J343" s="24" t="s">
        <v>2361</v>
      </c>
      <c r="K343" s="24" t="s">
        <v>2373</v>
      </c>
      <c r="L343" t="s">
        <v>1400</v>
      </c>
      <c r="M343" t="s">
        <v>1407</v>
      </c>
      <c r="N343" t="s">
        <v>1427</v>
      </c>
      <c r="O343" t="s">
        <v>1427</v>
      </c>
      <c r="P343" t="s">
        <v>1430</v>
      </c>
      <c r="Q343">
        <v>40</v>
      </c>
      <c r="R343" s="2">
        <v>8457780313295</v>
      </c>
      <c r="S343" s="3" t="s">
        <v>959</v>
      </c>
      <c r="T343" t="s">
        <v>1334</v>
      </c>
      <c r="U343" t="s">
        <v>1335</v>
      </c>
    </row>
    <row r="344" spans="1:21" x14ac:dyDescent="0.25">
      <c r="A344" t="s">
        <v>294</v>
      </c>
      <c r="B344" t="s">
        <v>2240</v>
      </c>
      <c r="C344" t="s">
        <v>301</v>
      </c>
      <c r="D344" t="s">
        <v>1694</v>
      </c>
      <c r="E344" t="str">
        <f>+CONCATENATE(D344,". FABRICADO EN ",M344,". PUNTERA DE ",N344,". PLANTILLA ",O344,". SUELA DE ",P344)</f>
        <v xml:space="preserve">ZAPATO MF O1+CI+SRC Blanco 41. FABRICADO EN MICROFIBRA. PUNTERA DE No lleva. PLANTILLA No lleva. SUELA DE PU </v>
      </c>
      <c r="F344" t="str">
        <f>PROPER(E344)</f>
        <v xml:space="preserve">Zapato Mf O1+Ci+Src Blanco 41. Fabricado En Microfibra. Puntera De No Lleva. Plantilla No Lleva. Suela De Pu </v>
      </c>
      <c r="G344" s="24">
        <f>VLOOKUP(B344,Tabla1[],2,0)</f>
        <v>13.25</v>
      </c>
      <c r="H344" s="24">
        <f>+G344/0.7</f>
        <v>18.928571428571431</v>
      </c>
      <c r="I344" s="24">
        <f>+H344*1.21</f>
        <v>22.903571428571432</v>
      </c>
      <c r="J344" s="24" t="s">
        <v>2361</v>
      </c>
      <c r="K344" s="24" t="s">
        <v>2373</v>
      </c>
      <c r="L344" t="s">
        <v>1400</v>
      </c>
      <c r="M344" t="s">
        <v>1407</v>
      </c>
      <c r="N344" t="s">
        <v>1427</v>
      </c>
      <c r="O344" t="s">
        <v>1427</v>
      </c>
      <c r="P344" t="s">
        <v>1430</v>
      </c>
      <c r="Q344">
        <v>41</v>
      </c>
      <c r="R344" s="2">
        <v>8457780313301</v>
      </c>
      <c r="S344" s="3" t="s">
        <v>960</v>
      </c>
      <c r="T344" t="s">
        <v>1334</v>
      </c>
      <c r="U344" t="s">
        <v>1335</v>
      </c>
    </row>
    <row r="345" spans="1:21" x14ac:dyDescent="0.25">
      <c r="A345" t="s">
        <v>294</v>
      </c>
      <c r="B345" t="s">
        <v>2240</v>
      </c>
      <c r="C345" t="s">
        <v>302</v>
      </c>
      <c r="D345" t="s">
        <v>1695</v>
      </c>
      <c r="E345" t="str">
        <f>+CONCATENATE(D345,". FABRICADO EN ",M345,". PUNTERA DE ",N345,". PLANTILLA ",O345,". SUELA DE ",P345)</f>
        <v xml:space="preserve">ZAPATO MF O1+CI+SRC Blanco 42. FABRICADO EN MICROFIBRA. PUNTERA DE No lleva. PLANTILLA No lleva. SUELA DE PU </v>
      </c>
      <c r="F345" t="str">
        <f>PROPER(E345)</f>
        <v xml:space="preserve">Zapato Mf O1+Ci+Src Blanco 42. Fabricado En Microfibra. Puntera De No Lleva. Plantilla No Lleva. Suela De Pu </v>
      </c>
      <c r="G345" s="24">
        <f>VLOOKUP(B345,Tabla1[],2,0)</f>
        <v>13.25</v>
      </c>
      <c r="H345" s="24">
        <f>+G345/0.7</f>
        <v>18.928571428571431</v>
      </c>
      <c r="I345" s="24">
        <f>+H345*1.21</f>
        <v>22.903571428571432</v>
      </c>
      <c r="J345" s="24" t="s">
        <v>2361</v>
      </c>
      <c r="K345" s="24" t="s">
        <v>2373</v>
      </c>
      <c r="L345" t="s">
        <v>1400</v>
      </c>
      <c r="M345" t="s">
        <v>1407</v>
      </c>
      <c r="N345" t="s">
        <v>1427</v>
      </c>
      <c r="O345" t="s">
        <v>1427</v>
      </c>
      <c r="P345" t="s">
        <v>1430</v>
      </c>
      <c r="Q345">
        <v>42</v>
      </c>
      <c r="R345" s="2">
        <v>8457780313318</v>
      </c>
      <c r="S345" s="3" t="s">
        <v>961</v>
      </c>
      <c r="T345" t="s">
        <v>1334</v>
      </c>
      <c r="U345" t="s">
        <v>1335</v>
      </c>
    </row>
    <row r="346" spans="1:21" x14ac:dyDescent="0.25">
      <c r="A346" t="s">
        <v>294</v>
      </c>
      <c r="B346" t="s">
        <v>2240</v>
      </c>
      <c r="C346" t="s">
        <v>303</v>
      </c>
      <c r="D346" t="s">
        <v>1696</v>
      </c>
      <c r="E346" t="str">
        <f>+CONCATENATE(D346,". FABRICADO EN ",M346,". PUNTERA DE ",N346,". PLANTILLA ",O346,". SUELA DE ",P346)</f>
        <v xml:space="preserve">ZAPATO MF O1+CI+SRC Blanco 43. FABRICADO EN MICROFIBRA. PUNTERA DE No lleva. PLANTILLA No lleva. SUELA DE PU </v>
      </c>
      <c r="F346" t="str">
        <f>PROPER(E346)</f>
        <v xml:space="preserve">Zapato Mf O1+Ci+Src Blanco 43. Fabricado En Microfibra. Puntera De No Lleva. Plantilla No Lleva. Suela De Pu </v>
      </c>
      <c r="G346" s="24">
        <f>VLOOKUP(B346,Tabla1[],2,0)</f>
        <v>13.25</v>
      </c>
      <c r="H346" s="24">
        <f>+G346/0.7</f>
        <v>18.928571428571431</v>
      </c>
      <c r="I346" s="24">
        <f>+H346*1.21</f>
        <v>22.903571428571432</v>
      </c>
      <c r="J346" s="24" t="s">
        <v>2361</v>
      </c>
      <c r="K346" s="24" t="s">
        <v>2373</v>
      </c>
      <c r="L346" t="s">
        <v>1400</v>
      </c>
      <c r="M346" t="s">
        <v>1407</v>
      </c>
      <c r="N346" t="s">
        <v>1427</v>
      </c>
      <c r="O346" t="s">
        <v>1427</v>
      </c>
      <c r="P346" t="s">
        <v>1430</v>
      </c>
      <c r="Q346">
        <v>43</v>
      </c>
      <c r="R346" s="2">
        <v>8457780313325</v>
      </c>
      <c r="S346" s="3" t="s">
        <v>962</v>
      </c>
      <c r="T346" t="s">
        <v>1334</v>
      </c>
      <c r="U346" t="s">
        <v>1335</v>
      </c>
    </row>
    <row r="347" spans="1:21" x14ac:dyDescent="0.25">
      <c r="A347" t="s">
        <v>294</v>
      </c>
      <c r="B347" t="s">
        <v>2240</v>
      </c>
      <c r="C347" t="s">
        <v>304</v>
      </c>
      <c r="D347" t="s">
        <v>1697</v>
      </c>
      <c r="E347" t="str">
        <f>+CONCATENATE(D347,". FABRICADO EN ",M347,". PUNTERA DE ",N347,". PLANTILLA ",O347,". SUELA DE ",P347)</f>
        <v xml:space="preserve">ZAPATO MF O1+CI+SRC Blanco 44. FABRICADO EN MICROFIBRA. PUNTERA DE No lleva. PLANTILLA No lleva. SUELA DE PU </v>
      </c>
      <c r="F347" t="str">
        <f>PROPER(E347)</f>
        <v xml:space="preserve">Zapato Mf O1+Ci+Src Blanco 44. Fabricado En Microfibra. Puntera De No Lleva. Plantilla No Lleva. Suela De Pu </v>
      </c>
      <c r="G347" s="24">
        <f>VLOOKUP(B347,Tabla1[],2,0)</f>
        <v>13.25</v>
      </c>
      <c r="H347" s="24">
        <f>+G347/0.7</f>
        <v>18.928571428571431</v>
      </c>
      <c r="I347" s="24">
        <f>+H347*1.21</f>
        <v>22.903571428571432</v>
      </c>
      <c r="J347" s="24" t="s">
        <v>2361</v>
      </c>
      <c r="K347" s="24" t="s">
        <v>2373</v>
      </c>
      <c r="L347" t="s">
        <v>1400</v>
      </c>
      <c r="M347" t="s">
        <v>1407</v>
      </c>
      <c r="N347" t="s">
        <v>1427</v>
      </c>
      <c r="O347" t="s">
        <v>1427</v>
      </c>
      <c r="P347" t="s">
        <v>1430</v>
      </c>
      <c r="Q347">
        <v>44</v>
      </c>
      <c r="R347" s="2">
        <v>8457780313332</v>
      </c>
      <c r="S347" s="3" t="s">
        <v>963</v>
      </c>
      <c r="T347" t="s">
        <v>1334</v>
      </c>
      <c r="U347" t="s">
        <v>1335</v>
      </c>
    </row>
    <row r="348" spans="1:21" x14ac:dyDescent="0.25">
      <c r="A348" t="s">
        <v>294</v>
      </c>
      <c r="B348" t="s">
        <v>2240</v>
      </c>
      <c r="C348" t="s">
        <v>305</v>
      </c>
      <c r="D348" t="s">
        <v>1698</v>
      </c>
      <c r="E348" t="str">
        <f>+CONCATENATE(D348,". FABRICADO EN ",M348,". PUNTERA DE ",N348,". PLANTILLA ",O348,". SUELA DE ",P348)</f>
        <v xml:space="preserve">ZAPATO MF O1+CI+SRC Blanco 45. FABRICADO EN MICROFIBRA. PUNTERA DE No lleva. PLANTILLA No lleva. SUELA DE PU </v>
      </c>
      <c r="F348" t="str">
        <f>PROPER(E348)</f>
        <v xml:space="preserve">Zapato Mf O1+Ci+Src Blanco 45. Fabricado En Microfibra. Puntera De No Lleva. Plantilla No Lleva. Suela De Pu </v>
      </c>
      <c r="G348" s="24">
        <f>VLOOKUP(B348,Tabla1[],2,0)</f>
        <v>13.25</v>
      </c>
      <c r="H348" s="24">
        <f>+G348/0.7</f>
        <v>18.928571428571431</v>
      </c>
      <c r="I348" s="24">
        <f>+H348*1.21</f>
        <v>22.903571428571432</v>
      </c>
      <c r="J348" s="24" t="s">
        <v>2361</v>
      </c>
      <c r="K348" s="24" t="s">
        <v>2373</v>
      </c>
      <c r="L348" t="s">
        <v>1400</v>
      </c>
      <c r="M348" t="s">
        <v>1407</v>
      </c>
      <c r="N348" t="s">
        <v>1427</v>
      </c>
      <c r="O348" t="s">
        <v>1427</v>
      </c>
      <c r="P348" t="s">
        <v>1430</v>
      </c>
      <c r="Q348">
        <v>45</v>
      </c>
      <c r="R348" s="2">
        <v>8457780313349</v>
      </c>
      <c r="S348" s="3" t="s">
        <v>964</v>
      </c>
      <c r="T348" t="s">
        <v>1334</v>
      </c>
      <c r="U348" t="s">
        <v>1335</v>
      </c>
    </row>
    <row r="349" spans="1:21" x14ac:dyDescent="0.25">
      <c r="A349" t="s">
        <v>294</v>
      </c>
      <c r="B349" t="s">
        <v>2240</v>
      </c>
      <c r="C349" t="s">
        <v>306</v>
      </c>
      <c r="D349" t="s">
        <v>1699</v>
      </c>
      <c r="E349" t="str">
        <f>+CONCATENATE(D349,". FABRICADO EN ",M349,". PUNTERA DE ",N349,". PLANTILLA ",O349,". SUELA DE ",P349)</f>
        <v xml:space="preserve">ZAPATO MF O1+CI+SRC Blanco 46. FABRICADO EN MICROFIBRA. PUNTERA DE No lleva. PLANTILLA No lleva. SUELA DE PU </v>
      </c>
      <c r="F349" t="str">
        <f>PROPER(E349)</f>
        <v xml:space="preserve">Zapato Mf O1+Ci+Src Blanco 46. Fabricado En Microfibra. Puntera De No Lleva. Plantilla No Lleva. Suela De Pu </v>
      </c>
      <c r="G349" s="24">
        <f>VLOOKUP(B349,Tabla1[],2,0)</f>
        <v>13.25</v>
      </c>
      <c r="H349" s="24">
        <f>+G349/0.7</f>
        <v>18.928571428571431</v>
      </c>
      <c r="I349" s="24">
        <f>+H349*1.21</f>
        <v>22.903571428571432</v>
      </c>
      <c r="J349" s="24" t="s">
        <v>2361</v>
      </c>
      <c r="K349" s="24" t="s">
        <v>2373</v>
      </c>
      <c r="L349" t="s">
        <v>1400</v>
      </c>
      <c r="M349" t="s">
        <v>1407</v>
      </c>
      <c r="N349" t="s">
        <v>1427</v>
      </c>
      <c r="O349" t="s">
        <v>1427</v>
      </c>
      <c r="P349" t="s">
        <v>1430</v>
      </c>
      <c r="Q349">
        <v>46</v>
      </c>
      <c r="R349" s="2">
        <v>8457780313356</v>
      </c>
      <c r="S349" s="3" t="s">
        <v>965</v>
      </c>
      <c r="T349" t="s">
        <v>1334</v>
      </c>
      <c r="U349" t="s">
        <v>1335</v>
      </c>
    </row>
    <row r="350" spans="1:21" x14ac:dyDescent="0.25">
      <c r="A350" t="s">
        <v>294</v>
      </c>
      <c r="B350" t="s">
        <v>2240</v>
      </c>
      <c r="C350" t="s">
        <v>307</v>
      </c>
      <c r="D350" t="s">
        <v>1700</v>
      </c>
      <c r="E350" t="str">
        <f>+CONCATENATE(D350,". FABRICADO EN ",M350,". PUNTERA DE ",N350,". PLANTILLA ",O350,". SUELA DE ",P350)</f>
        <v xml:space="preserve">ZAPATO MF O1+CI+SRC Blanco 47. FABRICADO EN MICROFIBRA. PUNTERA DE No lleva. PLANTILLA No lleva. SUELA DE PU </v>
      </c>
      <c r="F350" t="str">
        <f>PROPER(E350)</f>
        <v xml:space="preserve">Zapato Mf O1+Ci+Src Blanco 47. Fabricado En Microfibra. Puntera De No Lleva. Plantilla No Lleva. Suela De Pu </v>
      </c>
      <c r="G350" s="24">
        <f>VLOOKUP(B350,Tabla1[],2,0)</f>
        <v>13.25</v>
      </c>
      <c r="H350" s="24">
        <f>+G350/0.7</f>
        <v>18.928571428571431</v>
      </c>
      <c r="I350" s="24">
        <f>+H350*1.21</f>
        <v>22.903571428571432</v>
      </c>
      <c r="J350" s="24" t="s">
        <v>2361</v>
      </c>
      <c r="K350" s="24" t="s">
        <v>2373</v>
      </c>
      <c r="L350" t="s">
        <v>1400</v>
      </c>
      <c r="M350" t="s">
        <v>1407</v>
      </c>
      <c r="N350" t="s">
        <v>1427</v>
      </c>
      <c r="O350" t="s">
        <v>1427</v>
      </c>
      <c r="P350" t="s">
        <v>1430</v>
      </c>
      <c r="Q350">
        <v>47</v>
      </c>
      <c r="R350" s="2">
        <v>8457780313363</v>
      </c>
      <c r="S350" s="3" t="s">
        <v>966</v>
      </c>
      <c r="T350" t="s">
        <v>1334</v>
      </c>
      <c r="U350" t="s">
        <v>1335</v>
      </c>
    </row>
    <row r="351" spans="1:21" x14ac:dyDescent="0.25">
      <c r="A351" t="s">
        <v>294</v>
      </c>
      <c r="B351" t="s">
        <v>2240</v>
      </c>
      <c r="C351" t="s">
        <v>308</v>
      </c>
      <c r="D351" t="s">
        <v>1701</v>
      </c>
      <c r="E351" t="str">
        <f>+CONCATENATE(D351,". FABRICADO EN ",M351,". PUNTERA DE ",N351,". PLANTILLA ",O351,". SUELA DE ",P351)</f>
        <v xml:space="preserve">ZAPATO MF O1+CI+SRC Blanco 48. FABRICADO EN MICROFIBRA. PUNTERA DE No lleva. PLANTILLA No lleva. SUELA DE PU </v>
      </c>
      <c r="F351" t="str">
        <f>PROPER(E351)</f>
        <v xml:space="preserve">Zapato Mf O1+Ci+Src Blanco 48. Fabricado En Microfibra. Puntera De No Lleva. Plantilla No Lleva. Suela De Pu </v>
      </c>
      <c r="G351" s="24">
        <f>VLOOKUP(B351,Tabla1[],2,0)</f>
        <v>13.25</v>
      </c>
      <c r="H351" s="24">
        <f>+G351/0.7</f>
        <v>18.928571428571431</v>
      </c>
      <c r="I351" s="24">
        <f>+H351*1.21</f>
        <v>22.903571428571432</v>
      </c>
      <c r="J351" s="24" t="s">
        <v>2361</v>
      </c>
      <c r="K351" s="24" t="s">
        <v>2373</v>
      </c>
      <c r="L351" t="s">
        <v>1400</v>
      </c>
      <c r="M351" t="s">
        <v>1407</v>
      </c>
      <c r="N351" t="s">
        <v>1427</v>
      </c>
      <c r="O351" t="s">
        <v>1427</v>
      </c>
      <c r="P351" t="s">
        <v>1430</v>
      </c>
      <c r="Q351">
        <v>48</v>
      </c>
      <c r="R351" s="2">
        <v>8457780313370</v>
      </c>
      <c r="S351" s="3" t="s">
        <v>967</v>
      </c>
      <c r="T351" t="s">
        <v>1334</v>
      </c>
      <c r="U351" t="s">
        <v>1335</v>
      </c>
    </row>
    <row r="352" spans="1:21" x14ac:dyDescent="0.25">
      <c r="A352" t="s">
        <v>309</v>
      </c>
      <c r="B352" t="s">
        <v>2241</v>
      </c>
      <c r="C352" t="s">
        <v>310</v>
      </c>
      <c r="D352" t="s">
        <v>1702</v>
      </c>
      <c r="E352" t="str">
        <f>+CONCATENATE(D352,". FABRICADO EN ",M352,". PUNTERA DE ",N352,". PLANTILLA ",O352,". SUELA DE ",P352)</f>
        <v>ZAPATO S3S+CI+HI+ FO+HRO+SC+SR +ESD Negro-Rojo 35. FABRICADO EN MICROFIBRA + MATERIAL ANTIABRASION . PUNTERA DE Fibra de vidrio. PLANTILLA Antiperforación textil. SUELA DE EVA/CAUCHO-NITRILO</v>
      </c>
      <c r="F352" t="str">
        <f>PROPER(E352)</f>
        <v>Zapato S3S+Ci+Hi+ Fo+Hro+Sc+Sr +Esd Negro-Rojo 35. Fabricado En Microfibra + Material Antiabrasion . Puntera De Fibra De Vidrio. Plantilla Antiperforación Textil. Suela De Eva/Caucho-Nitrilo</v>
      </c>
      <c r="G352" s="24">
        <f>VLOOKUP(B352,Tabla1[],2,0)</f>
        <v>35.9</v>
      </c>
      <c r="H352" s="24">
        <f>+G352/0.72</f>
        <v>49.861111111111114</v>
      </c>
      <c r="I352" s="24">
        <f>+H352*1.21</f>
        <v>60.331944444444446</v>
      </c>
      <c r="J352" s="24" t="s">
        <v>2359</v>
      </c>
      <c r="K352" s="24" t="s">
        <v>2365</v>
      </c>
      <c r="L352" t="s">
        <v>1405</v>
      </c>
      <c r="M352" t="s">
        <v>1419</v>
      </c>
      <c r="N352" t="s">
        <v>1425</v>
      </c>
      <c r="O352" t="s">
        <v>1428</v>
      </c>
      <c r="P352" t="s">
        <v>1431</v>
      </c>
      <c r="Q352">
        <v>35</v>
      </c>
      <c r="R352" s="2">
        <v>8457780336843</v>
      </c>
      <c r="S352" s="3" t="s">
        <v>968</v>
      </c>
      <c r="T352" t="s">
        <v>1379</v>
      </c>
    </row>
    <row r="353" spans="1:21" x14ac:dyDescent="0.25">
      <c r="A353" t="s">
        <v>309</v>
      </c>
      <c r="B353" t="s">
        <v>2241</v>
      </c>
      <c r="C353" t="s">
        <v>311</v>
      </c>
      <c r="D353" t="s">
        <v>1703</v>
      </c>
      <c r="E353" t="str">
        <f>+CONCATENATE(D353,". FABRICADO EN ",M353,". PUNTERA DE ",N353,". PLANTILLA ",O353,". SUELA DE ",P353)</f>
        <v>ZAPATO S3S+CI+HI+ FO+HRO+SC+SR +ESD Negro-Rojo 36. FABRICADO EN MICROFIBRA + MATERIAL ANTIABRASION . PUNTERA DE Fibra de vidrio. PLANTILLA Antiperforación textil. SUELA DE EVA/CAUCHO-NITRILO</v>
      </c>
      <c r="F353" t="str">
        <f>PROPER(E353)</f>
        <v>Zapato S3S+Ci+Hi+ Fo+Hro+Sc+Sr +Esd Negro-Rojo 36. Fabricado En Microfibra + Material Antiabrasion . Puntera De Fibra De Vidrio. Plantilla Antiperforación Textil. Suela De Eva/Caucho-Nitrilo</v>
      </c>
      <c r="G353" s="24">
        <f>VLOOKUP(B353,Tabla1[],2,0)</f>
        <v>35.9</v>
      </c>
      <c r="H353" s="24">
        <f>+G353/0.72</f>
        <v>49.861111111111114</v>
      </c>
      <c r="I353" s="24">
        <f>+H353*1.21</f>
        <v>60.331944444444446</v>
      </c>
      <c r="J353" s="24" t="s">
        <v>2359</v>
      </c>
      <c r="K353" s="24" t="s">
        <v>2365</v>
      </c>
      <c r="L353" t="s">
        <v>1405</v>
      </c>
      <c r="M353" t="s">
        <v>1419</v>
      </c>
      <c r="N353" t="s">
        <v>1425</v>
      </c>
      <c r="O353" t="s">
        <v>1428</v>
      </c>
      <c r="P353" t="s">
        <v>1431</v>
      </c>
      <c r="Q353">
        <v>36</v>
      </c>
      <c r="R353" s="2">
        <v>8457780336850</v>
      </c>
      <c r="S353" s="3" t="s">
        <v>969</v>
      </c>
      <c r="T353" t="s">
        <v>1379</v>
      </c>
    </row>
    <row r="354" spans="1:21" x14ac:dyDescent="0.25">
      <c r="A354" t="s">
        <v>309</v>
      </c>
      <c r="B354" t="s">
        <v>2241</v>
      </c>
      <c r="C354" t="s">
        <v>312</v>
      </c>
      <c r="D354" t="s">
        <v>1704</v>
      </c>
      <c r="E354" t="str">
        <f>+CONCATENATE(D354,". FABRICADO EN ",M354,". PUNTERA DE ",N354,". PLANTILLA ",O354,". SUELA DE ",P354)</f>
        <v>ZAPATO S3S+CI+HI+ FO+HRO+SC+SR +ESD Negro-Rojo 37. FABRICADO EN MICROFIBRA + MATERIAL ANTIABRASION . PUNTERA DE Fibra de vidrio. PLANTILLA Antiperforación textil. SUELA DE EVA/CAUCHO-NITRILO</v>
      </c>
      <c r="F354" t="str">
        <f>PROPER(E354)</f>
        <v>Zapato S3S+Ci+Hi+ Fo+Hro+Sc+Sr +Esd Negro-Rojo 37. Fabricado En Microfibra + Material Antiabrasion . Puntera De Fibra De Vidrio. Plantilla Antiperforación Textil. Suela De Eva/Caucho-Nitrilo</v>
      </c>
      <c r="G354" s="24">
        <f>VLOOKUP(B354,Tabla1[],2,0)</f>
        <v>35.9</v>
      </c>
      <c r="H354" s="24">
        <f>+G354/0.72</f>
        <v>49.861111111111114</v>
      </c>
      <c r="I354" s="24">
        <f>+H354*1.21</f>
        <v>60.331944444444446</v>
      </c>
      <c r="J354" s="24" t="s">
        <v>2359</v>
      </c>
      <c r="K354" s="24" t="s">
        <v>2365</v>
      </c>
      <c r="L354" t="s">
        <v>1405</v>
      </c>
      <c r="M354" t="s">
        <v>1419</v>
      </c>
      <c r="N354" t="s">
        <v>1425</v>
      </c>
      <c r="O354" t="s">
        <v>1428</v>
      </c>
      <c r="P354" t="s">
        <v>1431</v>
      </c>
      <c r="Q354">
        <v>37</v>
      </c>
      <c r="R354" s="2">
        <v>8457780336867</v>
      </c>
      <c r="S354" s="3" t="s">
        <v>970</v>
      </c>
      <c r="T354" t="s">
        <v>1379</v>
      </c>
    </row>
    <row r="355" spans="1:21" x14ac:dyDescent="0.25">
      <c r="A355" t="s">
        <v>309</v>
      </c>
      <c r="B355" t="s">
        <v>2241</v>
      </c>
      <c r="C355" t="s">
        <v>313</v>
      </c>
      <c r="D355" t="s">
        <v>1705</v>
      </c>
      <c r="E355" t="str">
        <f>+CONCATENATE(D355,". FABRICADO EN ",M355,". PUNTERA DE ",N355,". PLANTILLA ",O355,". SUELA DE ",P355)</f>
        <v>ZAPATO S3S+CI+HI+ FO+HRO+SC+SR +ESD Negro-Rojo 38. FABRICADO EN MICROFIBRA + MATERIAL ANTIABRASION . PUNTERA DE Fibra de vidrio. PLANTILLA Antiperforación textil. SUELA DE EVA/CAUCHO-NITRILO</v>
      </c>
      <c r="F355" t="str">
        <f>PROPER(E355)</f>
        <v>Zapato S3S+Ci+Hi+ Fo+Hro+Sc+Sr +Esd Negro-Rojo 38. Fabricado En Microfibra + Material Antiabrasion . Puntera De Fibra De Vidrio. Plantilla Antiperforación Textil. Suela De Eva/Caucho-Nitrilo</v>
      </c>
      <c r="G355" s="24">
        <f>VLOOKUP(B355,Tabla1[],2,0)</f>
        <v>35.9</v>
      </c>
      <c r="H355" s="24">
        <f>+G355/0.72</f>
        <v>49.861111111111114</v>
      </c>
      <c r="I355" s="24">
        <f>+H355*1.21</f>
        <v>60.331944444444446</v>
      </c>
      <c r="J355" s="24" t="s">
        <v>2359</v>
      </c>
      <c r="K355" s="24" t="s">
        <v>2365</v>
      </c>
      <c r="L355" t="s">
        <v>1405</v>
      </c>
      <c r="M355" t="s">
        <v>1419</v>
      </c>
      <c r="N355" t="s">
        <v>1425</v>
      </c>
      <c r="O355" t="s">
        <v>1428</v>
      </c>
      <c r="P355" t="s">
        <v>1431</v>
      </c>
      <c r="Q355">
        <v>38</v>
      </c>
      <c r="R355" s="2">
        <v>8457780336874</v>
      </c>
      <c r="S355" s="3" t="s">
        <v>971</v>
      </c>
      <c r="T355" t="s">
        <v>1379</v>
      </c>
    </row>
    <row r="356" spans="1:21" x14ac:dyDescent="0.25">
      <c r="A356" t="s">
        <v>309</v>
      </c>
      <c r="B356" t="s">
        <v>2241</v>
      </c>
      <c r="C356" t="s">
        <v>314</v>
      </c>
      <c r="D356" t="s">
        <v>1706</v>
      </c>
      <c r="E356" t="str">
        <f>+CONCATENATE(D356,". FABRICADO EN ",M356,". PUNTERA DE ",N356,". PLANTILLA ",O356,". SUELA DE ",P356)</f>
        <v>ZAPATO S3S+CI+HI+ FO+HRO+SC+SR +ESD Negro-Rojo 39. FABRICADO EN MICROFIBRA + MATERIAL ANTIABRASION . PUNTERA DE Fibra de vidrio. PLANTILLA Antiperforación textil. SUELA DE EVA/CAUCHO-NITRILO</v>
      </c>
      <c r="F356" t="str">
        <f>PROPER(E356)</f>
        <v>Zapato S3S+Ci+Hi+ Fo+Hro+Sc+Sr +Esd Negro-Rojo 39. Fabricado En Microfibra + Material Antiabrasion . Puntera De Fibra De Vidrio. Plantilla Antiperforación Textil. Suela De Eva/Caucho-Nitrilo</v>
      </c>
      <c r="G356" s="24">
        <f>VLOOKUP(B356,Tabla1[],2,0)</f>
        <v>35.9</v>
      </c>
      <c r="H356" s="24">
        <f>+G356/0.72</f>
        <v>49.861111111111114</v>
      </c>
      <c r="I356" s="24">
        <f>+H356*1.21</f>
        <v>60.331944444444446</v>
      </c>
      <c r="J356" s="24" t="s">
        <v>2359</v>
      </c>
      <c r="K356" s="24" t="s">
        <v>2365</v>
      </c>
      <c r="L356" t="s">
        <v>1405</v>
      </c>
      <c r="M356" t="s">
        <v>1419</v>
      </c>
      <c r="N356" t="s">
        <v>1425</v>
      </c>
      <c r="O356" t="s">
        <v>1428</v>
      </c>
      <c r="P356" t="s">
        <v>1431</v>
      </c>
      <c r="Q356">
        <v>39</v>
      </c>
      <c r="R356" s="2">
        <v>8457780336881</v>
      </c>
      <c r="S356" s="3" t="s">
        <v>972</v>
      </c>
      <c r="T356" t="s">
        <v>1379</v>
      </c>
    </row>
    <row r="357" spans="1:21" x14ac:dyDescent="0.25">
      <c r="A357" t="s">
        <v>309</v>
      </c>
      <c r="B357" t="s">
        <v>2241</v>
      </c>
      <c r="C357" t="s">
        <v>315</v>
      </c>
      <c r="D357" t="s">
        <v>1707</v>
      </c>
      <c r="E357" t="str">
        <f>+CONCATENATE(D357,". FABRICADO EN ",M357,". PUNTERA DE ",N357,". PLANTILLA ",O357,". SUELA DE ",P357)</f>
        <v>ZAPATO S3S+CI+HI+ FO+HRO+SC+SR +ESD Negro-Rojo 40. FABRICADO EN MICROFIBRA + MATERIAL ANTIABRASION . PUNTERA DE Fibra de vidrio. PLANTILLA Antiperforación textil. SUELA DE EVA/CAUCHO-NITRILO</v>
      </c>
      <c r="F357" t="str">
        <f>PROPER(E357)</f>
        <v>Zapato S3S+Ci+Hi+ Fo+Hro+Sc+Sr +Esd Negro-Rojo 40. Fabricado En Microfibra + Material Antiabrasion . Puntera De Fibra De Vidrio. Plantilla Antiperforación Textil. Suela De Eva/Caucho-Nitrilo</v>
      </c>
      <c r="G357" s="24">
        <f>VLOOKUP(B357,Tabla1[],2,0)</f>
        <v>35.9</v>
      </c>
      <c r="H357" s="24">
        <f>+G357/0.72</f>
        <v>49.861111111111114</v>
      </c>
      <c r="I357" s="24">
        <f>+H357*1.21</f>
        <v>60.331944444444446</v>
      </c>
      <c r="J357" s="24" t="s">
        <v>2359</v>
      </c>
      <c r="K357" s="24" t="s">
        <v>2365</v>
      </c>
      <c r="L357" t="s">
        <v>1405</v>
      </c>
      <c r="M357" t="s">
        <v>1419</v>
      </c>
      <c r="N357" t="s">
        <v>1425</v>
      </c>
      <c r="O357" t="s">
        <v>1428</v>
      </c>
      <c r="P357" t="s">
        <v>1431</v>
      </c>
      <c r="Q357">
        <v>40</v>
      </c>
      <c r="R357" s="2">
        <v>8457780336898</v>
      </c>
      <c r="S357" s="3" t="s">
        <v>973</v>
      </c>
      <c r="T357" t="s">
        <v>1379</v>
      </c>
    </row>
    <row r="358" spans="1:21" x14ac:dyDescent="0.25">
      <c r="A358" t="s">
        <v>309</v>
      </c>
      <c r="B358" t="s">
        <v>2241</v>
      </c>
      <c r="C358" t="s">
        <v>316</v>
      </c>
      <c r="D358" t="s">
        <v>1708</v>
      </c>
      <c r="E358" t="str">
        <f>+CONCATENATE(D358,". FABRICADO EN ",M358,". PUNTERA DE ",N358,". PLANTILLA ",O358,". SUELA DE ",P358)</f>
        <v>ZAPATO S3S+CI+HI+ FO+HRO+SC+SR +ESD Negro-Rojo 41. FABRICADO EN MICROFIBRA + MATERIAL ANTIABRASION . PUNTERA DE Fibra de vidrio. PLANTILLA Antiperforación textil. SUELA DE EVA/CAUCHO-NITRILO</v>
      </c>
      <c r="F358" t="str">
        <f>PROPER(E358)</f>
        <v>Zapato S3S+Ci+Hi+ Fo+Hro+Sc+Sr +Esd Negro-Rojo 41. Fabricado En Microfibra + Material Antiabrasion . Puntera De Fibra De Vidrio. Plantilla Antiperforación Textil. Suela De Eva/Caucho-Nitrilo</v>
      </c>
      <c r="G358" s="24">
        <f>VLOOKUP(B358,Tabla1[],2,0)</f>
        <v>35.9</v>
      </c>
      <c r="H358" s="24">
        <f>+G358/0.72</f>
        <v>49.861111111111114</v>
      </c>
      <c r="I358" s="24">
        <f>+H358*1.21</f>
        <v>60.331944444444446</v>
      </c>
      <c r="J358" s="24" t="s">
        <v>2359</v>
      </c>
      <c r="K358" s="24" t="s">
        <v>2365</v>
      </c>
      <c r="L358" t="s">
        <v>1405</v>
      </c>
      <c r="M358" t="s">
        <v>1419</v>
      </c>
      <c r="N358" t="s">
        <v>1425</v>
      </c>
      <c r="O358" t="s">
        <v>1428</v>
      </c>
      <c r="P358" t="s">
        <v>1431</v>
      </c>
      <c r="Q358">
        <v>41</v>
      </c>
      <c r="R358" s="2">
        <v>8457780336904</v>
      </c>
      <c r="S358" s="3" t="s">
        <v>974</v>
      </c>
      <c r="T358" t="s">
        <v>1379</v>
      </c>
    </row>
    <row r="359" spans="1:21" x14ac:dyDescent="0.25">
      <c r="A359" t="s">
        <v>309</v>
      </c>
      <c r="B359" t="s">
        <v>2241</v>
      </c>
      <c r="C359" t="s">
        <v>317</v>
      </c>
      <c r="D359" t="s">
        <v>1709</v>
      </c>
      <c r="E359" t="str">
        <f>+CONCATENATE(D359,". FABRICADO EN ",M359,". PUNTERA DE ",N359,". PLANTILLA ",O359,". SUELA DE ",P359)</f>
        <v>ZAPATO S3S+CI+HI+ FO+HRO+SC+SR +ESD Negro-Rojo 42. FABRICADO EN MICROFIBRA + MATERIAL ANTIABRASION . PUNTERA DE Fibra de vidrio. PLANTILLA Antiperforación textil. SUELA DE EVA/CAUCHO-NITRILO</v>
      </c>
      <c r="F359" t="str">
        <f>PROPER(E359)</f>
        <v>Zapato S3S+Ci+Hi+ Fo+Hro+Sc+Sr +Esd Negro-Rojo 42. Fabricado En Microfibra + Material Antiabrasion . Puntera De Fibra De Vidrio. Plantilla Antiperforación Textil. Suela De Eva/Caucho-Nitrilo</v>
      </c>
      <c r="G359" s="24">
        <f>VLOOKUP(B359,Tabla1[],2,0)</f>
        <v>35.9</v>
      </c>
      <c r="H359" s="24">
        <f>+G359/0.72</f>
        <v>49.861111111111114</v>
      </c>
      <c r="I359" s="24">
        <f>+H359*1.21</f>
        <v>60.331944444444446</v>
      </c>
      <c r="J359" s="24" t="s">
        <v>2359</v>
      </c>
      <c r="K359" s="24" t="s">
        <v>2365</v>
      </c>
      <c r="L359" t="s">
        <v>1405</v>
      </c>
      <c r="M359" t="s">
        <v>1419</v>
      </c>
      <c r="N359" t="s">
        <v>1425</v>
      </c>
      <c r="O359" t="s">
        <v>1428</v>
      </c>
      <c r="P359" t="s">
        <v>1431</v>
      </c>
      <c r="Q359">
        <v>42</v>
      </c>
      <c r="R359" s="2">
        <v>8457780336911</v>
      </c>
      <c r="S359" s="3" t="s">
        <v>975</v>
      </c>
      <c r="T359" t="s">
        <v>1379</v>
      </c>
    </row>
    <row r="360" spans="1:21" x14ac:dyDescent="0.25">
      <c r="A360" t="s">
        <v>309</v>
      </c>
      <c r="B360" t="s">
        <v>2241</v>
      </c>
      <c r="C360" t="s">
        <v>318</v>
      </c>
      <c r="D360" t="s">
        <v>1710</v>
      </c>
      <c r="E360" t="str">
        <f>+CONCATENATE(D360,". FABRICADO EN ",M360,". PUNTERA DE ",N360,". PLANTILLA ",O360,". SUELA DE ",P360)</f>
        <v>ZAPATO S3S+CI+HI+ FO+HRO+SC+SR +ESD Negro-Rojo 43. FABRICADO EN MICROFIBRA + MATERIAL ANTIABRASION . PUNTERA DE Fibra de vidrio. PLANTILLA Antiperforación textil. SUELA DE EVA/CAUCHO-NITRILO</v>
      </c>
      <c r="F360" t="str">
        <f>PROPER(E360)</f>
        <v>Zapato S3S+Ci+Hi+ Fo+Hro+Sc+Sr +Esd Negro-Rojo 43. Fabricado En Microfibra + Material Antiabrasion . Puntera De Fibra De Vidrio. Plantilla Antiperforación Textil. Suela De Eva/Caucho-Nitrilo</v>
      </c>
      <c r="G360" s="24">
        <f>VLOOKUP(B360,Tabla1[],2,0)</f>
        <v>35.9</v>
      </c>
      <c r="H360" s="24">
        <f>+G360/0.72</f>
        <v>49.861111111111114</v>
      </c>
      <c r="I360" s="24">
        <f>+H360*1.21</f>
        <v>60.331944444444446</v>
      </c>
      <c r="J360" s="24" t="s">
        <v>2359</v>
      </c>
      <c r="K360" s="24" t="s">
        <v>2365</v>
      </c>
      <c r="L360" t="s">
        <v>1405</v>
      </c>
      <c r="M360" t="s">
        <v>1419</v>
      </c>
      <c r="N360" t="s">
        <v>1425</v>
      </c>
      <c r="O360" t="s">
        <v>1428</v>
      </c>
      <c r="P360" t="s">
        <v>1431</v>
      </c>
      <c r="Q360">
        <v>43</v>
      </c>
      <c r="R360" s="2">
        <v>8457780336928</v>
      </c>
      <c r="S360" s="3" t="s">
        <v>976</v>
      </c>
      <c r="T360" t="s">
        <v>1379</v>
      </c>
    </row>
    <row r="361" spans="1:21" x14ac:dyDescent="0.25">
      <c r="A361" t="s">
        <v>309</v>
      </c>
      <c r="B361" t="s">
        <v>2241</v>
      </c>
      <c r="C361" t="s">
        <v>319</v>
      </c>
      <c r="D361" t="s">
        <v>1711</v>
      </c>
      <c r="E361" t="str">
        <f>+CONCATENATE(D361,". FABRICADO EN ",M361,". PUNTERA DE ",N361,". PLANTILLA ",O361,". SUELA DE ",P361)</f>
        <v>ZAPATO S3S+CI+HI+ FO+HRO+SC+SR +ESD Negro-Rojo 44. FABRICADO EN MICROFIBRA + MATERIAL ANTIABRASION . PUNTERA DE Fibra de vidrio. PLANTILLA Antiperforación textil. SUELA DE EVA/CAUCHO-NITRILO</v>
      </c>
      <c r="F361" t="str">
        <f>PROPER(E361)</f>
        <v>Zapato S3S+Ci+Hi+ Fo+Hro+Sc+Sr +Esd Negro-Rojo 44. Fabricado En Microfibra + Material Antiabrasion . Puntera De Fibra De Vidrio. Plantilla Antiperforación Textil. Suela De Eva/Caucho-Nitrilo</v>
      </c>
      <c r="G361" s="24">
        <f>VLOOKUP(B361,Tabla1[],2,0)</f>
        <v>35.9</v>
      </c>
      <c r="H361" s="24">
        <f>+G361/0.72</f>
        <v>49.861111111111114</v>
      </c>
      <c r="I361" s="24">
        <f>+H361*1.21</f>
        <v>60.331944444444446</v>
      </c>
      <c r="J361" s="24" t="s">
        <v>2359</v>
      </c>
      <c r="K361" s="24" t="s">
        <v>2365</v>
      </c>
      <c r="L361" t="s">
        <v>1405</v>
      </c>
      <c r="M361" t="s">
        <v>1419</v>
      </c>
      <c r="N361" t="s">
        <v>1425</v>
      </c>
      <c r="O361" t="s">
        <v>1428</v>
      </c>
      <c r="P361" t="s">
        <v>1431</v>
      </c>
      <c r="Q361">
        <v>44</v>
      </c>
      <c r="R361" s="2">
        <v>8457780336935</v>
      </c>
      <c r="S361" s="3" t="s">
        <v>977</v>
      </c>
      <c r="T361" t="s">
        <v>1379</v>
      </c>
    </row>
    <row r="362" spans="1:21" x14ac:dyDescent="0.25">
      <c r="A362" t="s">
        <v>309</v>
      </c>
      <c r="B362" t="s">
        <v>2241</v>
      </c>
      <c r="C362" t="s">
        <v>320</v>
      </c>
      <c r="D362" t="s">
        <v>1712</v>
      </c>
      <c r="E362" t="str">
        <f>+CONCATENATE(D362,". FABRICADO EN ",M362,". PUNTERA DE ",N362,". PLANTILLA ",O362,". SUELA DE ",P362)</f>
        <v>ZAPATO S3S+CI+HI+ FO+HRO+SC+SR +ESD Negro-Rojo 45. FABRICADO EN MICROFIBRA + MATERIAL ANTIABRASION . PUNTERA DE Fibra de vidrio. PLANTILLA Antiperforación textil. SUELA DE EVA/CAUCHO-NITRILO</v>
      </c>
      <c r="F362" t="str">
        <f>PROPER(E362)</f>
        <v>Zapato S3S+Ci+Hi+ Fo+Hro+Sc+Sr +Esd Negro-Rojo 45. Fabricado En Microfibra + Material Antiabrasion . Puntera De Fibra De Vidrio. Plantilla Antiperforación Textil. Suela De Eva/Caucho-Nitrilo</v>
      </c>
      <c r="G362" s="24">
        <f>VLOOKUP(B362,Tabla1[],2,0)</f>
        <v>35.9</v>
      </c>
      <c r="H362" s="24">
        <f>+G362/0.72</f>
        <v>49.861111111111114</v>
      </c>
      <c r="I362" s="24">
        <f>+H362*1.21</f>
        <v>60.331944444444446</v>
      </c>
      <c r="J362" s="24" t="s">
        <v>2359</v>
      </c>
      <c r="K362" s="24" t="s">
        <v>2365</v>
      </c>
      <c r="L362" t="s">
        <v>1405</v>
      </c>
      <c r="M362" t="s">
        <v>1419</v>
      </c>
      <c r="N362" t="s">
        <v>1425</v>
      </c>
      <c r="O362" t="s">
        <v>1428</v>
      </c>
      <c r="P362" t="s">
        <v>1431</v>
      </c>
      <c r="Q362">
        <v>45</v>
      </c>
      <c r="R362" s="2">
        <v>8457780336942</v>
      </c>
      <c r="S362" s="3" t="s">
        <v>978</v>
      </c>
      <c r="T362" t="s">
        <v>1379</v>
      </c>
    </row>
    <row r="363" spans="1:21" x14ac:dyDescent="0.25">
      <c r="A363" t="s">
        <v>309</v>
      </c>
      <c r="B363" t="s">
        <v>2241</v>
      </c>
      <c r="C363" t="s">
        <v>321</v>
      </c>
      <c r="D363" t="s">
        <v>1713</v>
      </c>
      <c r="E363" t="str">
        <f>+CONCATENATE(D363,". FABRICADO EN ",M363,". PUNTERA DE ",N363,". PLANTILLA ",O363,". SUELA DE ",P363)</f>
        <v>ZAPATO S3S+CI+HI+ FO+HRO+SC+SR +ESD Negro-Rojo 46. FABRICADO EN MICROFIBRA + MATERIAL ANTIABRASION . PUNTERA DE Fibra de vidrio. PLANTILLA Antiperforación textil. SUELA DE EVA/CAUCHO-NITRILO</v>
      </c>
      <c r="F363" t="str">
        <f>PROPER(E363)</f>
        <v>Zapato S3S+Ci+Hi+ Fo+Hro+Sc+Sr +Esd Negro-Rojo 46. Fabricado En Microfibra + Material Antiabrasion . Puntera De Fibra De Vidrio. Plantilla Antiperforación Textil. Suela De Eva/Caucho-Nitrilo</v>
      </c>
      <c r="G363" s="24">
        <f>VLOOKUP(B363,Tabla1[],2,0)</f>
        <v>35.9</v>
      </c>
      <c r="H363" s="24">
        <f>+G363/0.72</f>
        <v>49.861111111111114</v>
      </c>
      <c r="I363" s="24">
        <f>+H363*1.21</f>
        <v>60.331944444444446</v>
      </c>
      <c r="J363" s="24" t="s">
        <v>2359</v>
      </c>
      <c r="K363" s="24" t="s">
        <v>2365</v>
      </c>
      <c r="L363" t="s">
        <v>1405</v>
      </c>
      <c r="M363" t="s">
        <v>1419</v>
      </c>
      <c r="N363" t="s">
        <v>1425</v>
      </c>
      <c r="O363" t="s">
        <v>1428</v>
      </c>
      <c r="P363" t="s">
        <v>1431</v>
      </c>
      <c r="Q363">
        <v>46</v>
      </c>
      <c r="R363" s="2">
        <v>8457780336959</v>
      </c>
      <c r="S363" s="3" t="s">
        <v>979</v>
      </c>
      <c r="T363" t="s">
        <v>1379</v>
      </c>
    </row>
    <row r="364" spans="1:21" x14ac:dyDescent="0.25">
      <c r="A364" t="s">
        <v>309</v>
      </c>
      <c r="B364" t="s">
        <v>2241</v>
      </c>
      <c r="C364" t="s">
        <v>322</v>
      </c>
      <c r="D364" t="s">
        <v>1714</v>
      </c>
      <c r="E364" t="str">
        <f>+CONCATENATE(D364,". FABRICADO EN ",M364,". PUNTERA DE ",N364,". PLANTILLA ",O364,". SUELA DE ",P364)</f>
        <v>ZAPATO S3S+CI+HI+ FO+HRO+SC+SR +ESD Negro-Rojo 47. FABRICADO EN MICROFIBRA + MATERIAL ANTIABRASION . PUNTERA DE Fibra de vidrio. PLANTILLA Antiperforación textil. SUELA DE EVA/CAUCHO-NITRILO</v>
      </c>
      <c r="F364" t="str">
        <f>PROPER(E364)</f>
        <v>Zapato S3S+Ci+Hi+ Fo+Hro+Sc+Sr +Esd Negro-Rojo 47. Fabricado En Microfibra + Material Antiabrasion . Puntera De Fibra De Vidrio. Plantilla Antiperforación Textil. Suela De Eva/Caucho-Nitrilo</v>
      </c>
      <c r="G364" s="24">
        <f>VLOOKUP(B364,Tabla1[],2,0)</f>
        <v>35.9</v>
      </c>
      <c r="H364" s="24">
        <f>+G364/0.72</f>
        <v>49.861111111111114</v>
      </c>
      <c r="I364" s="24">
        <f>+H364*1.21</f>
        <v>60.331944444444446</v>
      </c>
      <c r="J364" s="24" t="s">
        <v>2359</v>
      </c>
      <c r="K364" s="24" t="s">
        <v>2365</v>
      </c>
      <c r="L364" t="s">
        <v>1405</v>
      </c>
      <c r="M364" t="s">
        <v>1419</v>
      </c>
      <c r="N364" t="s">
        <v>1425</v>
      </c>
      <c r="O364" t="s">
        <v>1428</v>
      </c>
      <c r="P364" t="s">
        <v>1431</v>
      </c>
      <c r="Q364">
        <v>47</v>
      </c>
      <c r="R364" s="2">
        <v>8457780336966</v>
      </c>
      <c r="S364" s="3" t="s">
        <v>980</v>
      </c>
      <c r="T364" t="s">
        <v>1379</v>
      </c>
    </row>
    <row r="365" spans="1:21" x14ac:dyDescent="0.25">
      <c r="A365" t="s">
        <v>309</v>
      </c>
      <c r="B365" t="s">
        <v>2241</v>
      </c>
      <c r="C365" t="s">
        <v>323</v>
      </c>
      <c r="D365" t="s">
        <v>1715</v>
      </c>
      <c r="E365" t="str">
        <f>+CONCATENATE(D365,". FABRICADO EN ",M365,". PUNTERA DE ",N365,". PLANTILLA ",O365,". SUELA DE ",P365)</f>
        <v>ZAPATO S3S+CI+HI+ FO+HRO+SC+SR +ESD Negro-Rojo 48. FABRICADO EN MICROFIBRA + MATERIAL ANTIABRASION . PUNTERA DE Fibra de vidrio. PLANTILLA Antiperforación textil. SUELA DE EVA/CAUCHO-NITRILO</v>
      </c>
      <c r="F365" t="str">
        <f>PROPER(E365)</f>
        <v>Zapato S3S+Ci+Hi+ Fo+Hro+Sc+Sr +Esd Negro-Rojo 48. Fabricado En Microfibra + Material Antiabrasion . Puntera De Fibra De Vidrio. Plantilla Antiperforación Textil. Suela De Eva/Caucho-Nitrilo</v>
      </c>
      <c r="G365" s="24">
        <f>VLOOKUP(B365,Tabla1[],2,0)</f>
        <v>35.9</v>
      </c>
      <c r="H365" s="24">
        <f>+G365/0.72</f>
        <v>49.861111111111114</v>
      </c>
      <c r="I365" s="24">
        <f>+H365*1.21</f>
        <v>60.331944444444446</v>
      </c>
      <c r="J365" s="24" t="s">
        <v>2359</v>
      </c>
      <c r="K365" s="24" t="s">
        <v>2365</v>
      </c>
      <c r="L365" t="s">
        <v>1405</v>
      </c>
      <c r="M365" t="s">
        <v>1419</v>
      </c>
      <c r="N365" t="s">
        <v>1425</v>
      </c>
      <c r="O365" t="s">
        <v>1428</v>
      </c>
      <c r="P365" t="s">
        <v>1431</v>
      </c>
      <c r="Q365">
        <v>48</v>
      </c>
      <c r="R365" s="2">
        <v>8457780336973</v>
      </c>
      <c r="S365" s="3" t="s">
        <v>981</v>
      </c>
      <c r="T365" t="s">
        <v>1379</v>
      </c>
    </row>
    <row r="366" spans="1:21" x14ac:dyDescent="0.25">
      <c r="A366" t="s">
        <v>324</v>
      </c>
      <c r="B366" t="s">
        <v>2242</v>
      </c>
      <c r="C366" t="s">
        <v>325</v>
      </c>
      <c r="D366" t="s">
        <v>1716</v>
      </c>
      <c r="E366" t="str">
        <f>+CONCATENATE(D366,". FABRICADO EN ",M366,". PUNTERA DE ",N366,". PLANTILLA ",O366,". SUELA DE ",P366)</f>
        <v>ZAPATO S1+PL+CI+HI+FO+SR+ESD Amarillo 35. FABRICADO EN TEXTIL. PUNTERA DE Fibra de vidrio. PLANTILLA Antiperforación textil. SUELA DE EVA/CAUCHO-NITRILO</v>
      </c>
      <c r="F366" t="str">
        <f>PROPER(E366)</f>
        <v>Zapato S1+Pl+Ci+Hi+Fo+Sr+Esd Amarillo 35. Fabricado En Textil. Puntera De Fibra De Vidrio. Plantilla Antiperforación Textil. Suela De Eva/Caucho-Nitrilo</v>
      </c>
      <c r="G366" s="24">
        <v>38.9</v>
      </c>
      <c r="H366" s="24">
        <f>+G366/0.72</f>
        <v>54.027777777777779</v>
      </c>
      <c r="I366" s="24">
        <f>+H366*1.21</f>
        <v>65.373611111111117</v>
      </c>
      <c r="J366" s="24" t="s">
        <v>2359</v>
      </c>
      <c r="K366" s="24" t="s">
        <v>2371</v>
      </c>
      <c r="L366" t="s">
        <v>1406</v>
      </c>
      <c r="M366" t="s">
        <v>1418</v>
      </c>
      <c r="N366" t="s">
        <v>1425</v>
      </c>
      <c r="O366" t="s">
        <v>1428</v>
      </c>
      <c r="P366" t="s">
        <v>1431</v>
      </c>
      <c r="Q366">
        <v>35</v>
      </c>
      <c r="R366" s="2">
        <v>8457780314087</v>
      </c>
      <c r="S366" s="3" t="s">
        <v>982</v>
      </c>
      <c r="T366" t="s">
        <v>1321</v>
      </c>
      <c r="U366" s="1" t="s">
        <v>1322</v>
      </c>
    </row>
    <row r="367" spans="1:21" x14ac:dyDescent="0.25">
      <c r="A367" t="s">
        <v>324</v>
      </c>
      <c r="B367" t="s">
        <v>2242</v>
      </c>
      <c r="C367" t="s">
        <v>326</v>
      </c>
      <c r="D367" t="s">
        <v>1717</v>
      </c>
      <c r="E367" t="str">
        <f>+CONCATENATE(D367,". FABRICADO EN ",M367,". PUNTERA DE ",N367,". PLANTILLA ",O367,". SUELA DE ",P367)</f>
        <v>ZAPATO S1+PL+CI+HI+FO+SR+ESD Amarillo 36. FABRICADO EN TEXTIL. PUNTERA DE Fibra de vidrio. PLANTILLA Antiperforación textil. SUELA DE EVA/CAUCHO-NITRILO</v>
      </c>
      <c r="F367" t="str">
        <f>PROPER(E367)</f>
        <v>Zapato S1+Pl+Ci+Hi+Fo+Sr+Esd Amarillo 36. Fabricado En Textil. Puntera De Fibra De Vidrio. Plantilla Antiperforación Textil. Suela De Eva/Caucho-Nitrilo</v>
      </c>
      <c r="G367" s="24">
        <v>38.9</v>
      </c>
      <c r="H367" s="24">
        <f>+G367/0.72</f>
        <v>54.027777777777779</v>
      </c>
      <c r="I367" s="24">
        <f>+H367*1.21</f>
        <v>65.373611111111117</v>
      </c>
      <c r="J367" s="24" t="s">
        <v>2359</v>
      </c>
      <c r="K367" s="24" t="s">
        <v>2371</v>
      </c>
      <c r="L367" t="s">
        <v>1406</v>
      </c>
      <c r="M367" t="s">
        <v>1418</v>
      </c>
      <c r="N367" t="s">
        <v>1425</v>
      </c>
      <c r="O367" t="s">
        <v>1428</v>
      </c>
      <c r="P367" t="s">
        <v>1431</v>
      </c>
      <c r="Q367">
        <v>36</v>
      </c>
      <c r="R367" s="2">
        <v>8457780314094</v>
      </c>
      <c r="S367" s="3" t="s">
        <v>983</v>
      </c>
      <c r="T367" t="s">
        <v>1321</v>
      </c>
      <c r="U367" s="1" t="s">
        <v>1322</v>
      </c>
    </row>
    <row r="368" spans="1:21" x14ac:dyDescent="0.25">
      <c r="A368" t="s">
        <v>324</v>
      </c>
      <c r="B368" t="s">
        <v>2242</v>
      </c>
      <c r="C368" t="s">
        <v>327</v>
      </c>
      <c r="D368" t="s">
        <v>1718</v>
      </c>
      <c r="E368" t="str">
        <f>+CONCATENATE(D368,". FABRICADO EN ",M368,". PUNTERA DE ",N368,". PLANTILLA ",O368,". SUELA DE ",P368)</f>
        <v>ZAPATO S1+PL+CI+HI+FO+SR+ESD Amarillo 37. FABRICADO EN TEXTIL. PUNTERA DE Fibra de vidrio. PLANTILLA Antiperforación textil. SUELA DE EVA/CAUCHO-NITRILO</v>
      </c>
      <c r="F368" t="str">
        <f>PROPER(E368)</f>
        <v>Zapato S1+Pl+Ci+Hi+Fo+Sr+Esd Amarillo 37. Fabricado En Textil. Puntera De Fibra De Vidrio. Plantilla Antiperforación Textil. Suela De Eva/Caucho-Nitrilo</v>
      </c>
      <c r="G368" s="24">
        <v>38.9</v>
      </c>
      <c r="H368" s="24">
        <f>+G368/0.72</f>
        <v>54.027777777777779</v>
      </c>
      <c r="I368" s="24">
        <f>+H368*1.21</f>
        <v>65.373611111111117</v>
      </c>
      <c r="J368" s="24" t="s">
        <v>2359</v>
      </c>
      <c r="K368" s="24" t="s">
        <v>2371</v>
      </c>
      <c r="L368" t="s">
        <v>1406</v>
      </c>
      <c r="M368" t="s">
        <v>1418</v>
      </c>
      <c r="N368" t="s">
        <v>1425</v>
      </c>
      <c r="O368" t="s">
        <v>1428</v>
      </c>
      <c r="P368" t="s">
        <v>1431</v>
      </c>
      <c r="Q368">
        <v>37</v>
      </c>
      <c r="R368" s="2">
        <v>8457780314100</v>
      </c>
      <c r="S368" s="3" t="s">
        <v>984</v>
      </c>
      <c r="T368" t="s">
        <v>1321</v>
      </c>
      <c r="U368" s="1" t="s">
        <v>1322</v>
      </c>
    </row>
    <row r="369" spans="1:21" x14ac:dyDescent="0.25">
      <c r="A369" t="s">
        <v>324</v>
      </c>
      <c r="B369" t="s">
        <v>2242</v>
      </c>
      <c r="C369" t="s">
        <v>328</v>
      </c>
      <c r="D369" t="s">
        <v>1719</v>
      </c>
      <c r="E369" t="str">
        <f>+CONCATENATE(D369,". FABRICADO EN ",M369,". PUNTERA DE ",N369,". PLANTILLA ",O369,". SUELA DE ",P369)</f>
        <v>ZAPATO S1+PL+CI+HI+FO+SR+ESD Amarillo 38. FABRICADO EN TEXTIL. PUNTERA DE Fibra de vidrio. PLANTILLA Antiperforación textil. SUELA DE EVA/CAUCHO-NITRILO</v>
      </c>
      <c r="F369" t="str">
        <f>PROPER(E369)</f>
        <v>Zapato S1+Pl+Ci+Hi+Fo+Sr+Esd Amarillo 38. Fabricado En Textil. Puntera De Fibra De Vidrio. Plantilla Antiperforación Textil. Suela De Eva/Caucho-Nitrilo</v>
      </c>
      <c r="G369" s="24">
        <v>38.9</v>
      </c>
      <c r="H369" s="24">
        <f>+G369/0.72</f>
        <v>54.027777777777779</v>
      </c>
      <c r="I369" s="24">
        <f>+H369*1.21</f>
        <v>65.373611111111117</v>
      </c>
      <c r="J369" s="24" t="s">
        <v>2359</v>
      </c>
      <c r="K369" s="24" t="s">
        <v>2371</v>
      </c>
      <c r="L369" t="s">
        <v>1406</v>
      </c>
      <c r="M369" t="s">
        <v>1418</v>
      </c>
      <c r="N369" t="s">
        <v>1425</v>
      </c>
      <c r="O369" t="s">
        <v>1428</v>
      </c>
      <c r="P369" t="s">
        <v>1431</v>
      </c>
      <c r="Q369">
        <v>38</v>
      </c>
      <c r="R369" s="2">
        <v>8457780314117</v>
      </c>
      <c r="S369" s="3" t="s">
        <v>985</v>
      </c>
      <c r="T369" t="s">
        <v>1321</v>
      </c>
      <c r="U369" s="1" t="s">
        <v>1322</v>
      </c>
    </row>
    <row r="370" spans="1:21" x14ac:dyDescent="0.25">
      <c r="A370" t="s">
        <v>324</v>
      </c>
      <c r="B370" t="s">
        <v>2242</v>
      </c>
      <c r="C370" t="s">
        <v>329</v>
      </c>
      <c r="D370" t="s">
        <v>1720</v>
      </c>
      <c r="E370" t="str">
        <f>+CONCATENATE(D370,". FABRICADO EN ",M370,". PUNTERA DE ",N370,". PLANTILLA ",O370,". SUELA DE ",P370)</f>
        <v>ZAPATO S1+PL+CI+HI+FO+SR+ESD Amarillo 39. FABRICADO EN TEXTIL. PUNTERA DE Fibra de vidrio. PLANTILLA Antiperforación textil. SUELA DE EVA/CAUCHO-NITRILO</v>
      </c>
      <c r="F370" t="str">
        <f>PROPER(E370)</f>
        <v>Zapato S1+Pl+Ci+Hi+Fo+Sr+Esd Amarillo 39. Fabricado En Textil. Puntera De Fibra De Vidrio. Plantilla Antiperforación Textil. Suela De Eva/Caucho-Nitrilo</v>
      </c>
      <c r="G370" s="24">
        <v>38.9</v>
      </c>
      <c r="H370" s="24">
        <f>+G370/0.72</f>
        <v>54.027777777777779</v>
      </c>
      <c r="I370" s="24">
        <f>+H370*1.21</f>
        <v>65.373611111111117</v>
      </c>
      <c r="J370" s="24" t="s">
        <v>2359</v>
      </c>
      <c r="K370" s="24" t="s">
        <v>2371</v>
      </c>
      <c r="L370" t="s">
        <v>1406</v>
      </c>
      <c r="M370" t="s">
        <v>1418</v>
      </c>
      <c r="N370" t="s">
        <v>1425</v>
      </c>
      <c r="O370" t="s">
        <v>1428</v>
      </c>
      <c r="P370" t="s">
        <v>1431</v>
      </c>
      <c r="Q370">
        <v>39</v>
      </c>
      <c r="R370" s="2">
        <v>8457780314124</v>
      </c>
      <c r="S370" s="3" t="s">
        <v>986</v>
      </c>
      <c r="T370" t="s">
        <v>1321</v>
      </c>
      <c r="U370" s="1" t="s">
        <v>1322</v>
      </c>
    </row>
    <row r="371" spans="1:21" x14ac:dyDescent="0.25">
      <c r="A371" t="s">
        <v>324</v>
      </c>
      <c r="B371" t="s">
        <v>2242</v>
      </c>
      <c r="C371" t="s">
        <v>330</v>
      </c>
      <c r="D371" t="s">
        <v>1721</v>
      </c>
      <c r="E371" t="str">
        <f>+CONCATENATE(D371,". FABRICADO EN ",M371,". PUNTERA DE ",N371,". PLANTILLA ",O371,". SUELA DE ",P371)</f>
        <v>ZAPATO S1+PL+CI+HI+FO+SR+ESD Amarillo 40. FABRICADO EN TEXTIL. PUNTERA DE Fibra de vidrio. PLANTILLA Antiperforación textil. SUELA DE EVA/CAUCHO-NITRILO</v>
      </c>
      <c r="F371" t="str">
        <f>PROPER(E371)</f>
        <v>Zapato S1+Pl+Ci+Hi+Fo+Sr+Esd Amarillo 40. Fabricado En Textil. Puntera De Fibra De Vidrio. Plantilla Antiperforación Textil. Suela De Eva/Caucho-Nitrilo</v>
      </c>
      <c r="G371" s="24">
        <v>38.9</v>
      </c>
      <c r="H371" s="24">
        <f>+G371/0.72</f>
        <v>54.027777777777779</v>
      </c>
      <c r="I371" s="24">
        <f>+H371*1.21</f>
        <v>65.373611111111117</v>
      </c>
      <c r="J371" s="24" t="s">
        <v>2359</v>
      </c>
      <c r="K371" s="24" t="s">
        <v>2371</v>
      </c>
      <c r="L371" t="s">
        <v>1406</v>
      </c>
      <c r="M371" t="s">
        <v>1418</v>
      </c>
      <c r="N371" t="s">
        <v>1425</v>
      </c>
      <c r="O371" t="s">
        <v>1428</v>
      </c>
      <c r="P371" t="s">
        <v>1431</v>
      </c>
      <c r="Q371">
        <v>40</v>
      </c>
      <c r="R371" s="2">
        <v>8457780314131</v>
      </c>
      <c r="S371" s="3" t="s">
        <v>987</v>
      </c>
      <c r="T371" t="s">
        <v>1321</v>
      </c>
      <c r="U371" s="1" t="s">
        <v>1322</v>
      </c>
    </row>
    <row r="372" spans="1:21" x14ac:dyDescent="0.25">
      <c r="A372" t="s">
        <v>324</v>
      </c>
      <c r="B372" t="s">
        <v>2242</v>
      </c>
      <c r="C372" t="s">
        <v>331</v>
      </c>
      <c r="D372" t="s">
        <v>1722</v>
      </c>
      <c r="E372" t="str">
        <f>+CONCATENATE(D372,". FABRICADO EN ",M372,". PUNTERA DE ",N372,". PLANTILLA ",O372,". SUELA DE ",P372)</f>
        <v>ZAPATO S1+PL+CI+HI+FO+SR+ESD Amarillo 41. FABRICADO EN TEXTIL. PUNTERA DE Fibra de vidrio. PLANTILLA Antiperforación textil. SUELA DE EVA/CAUCHO-NITRILO</v>
      </c>
      <c r="F372" t="str">
        <f>PROPER(E372)</f>
        <v>Zapato S1+Pl+Ci+Hi+Fo+Sr+Esd Amarillo 41. Fabricado En Textil. Puntera De Fibra De Vidrio. Plantilla Antiperforación Textil. Suela De Eva/Caucho-Nitrilo</v>
      </c>
      <c r="G372" s="24">
        <v>38.9</v>
      </c>
      <c r="H372" s="24">
        <f>+G372/0.72</f>
        <v>54.027777777777779</v>
      </c>
      <c r="I372" s="24">
        <f>+H372*1.21</f>
        <v>65.373611111111117</v>
      </c>
      <c r="J372" s="24" t="s">
        <v>2359</v>
      </c>
      <c r="K372" s="24" t="s">
        <v>2371</v>
      </c>
      <c r="L372" t="s">
        <v>1406</v>
      </c>
      <c r="M372" t="s">
        <v>1418</v>
      </c>
      <c r="N372" t="s">
        <v>1425</v>
      </c>
      <c r="O372" t="s">
        <v>1428</v>
      </c>
      <c r="P372" t="s">
        <v>1431</v>
      </c>
      <c r="Q372">
        <v>41</v>
      </c>
      <c r="R372" s="2">
        <v>8457780314148</v>
      </c>
      <c r="S372" s="3" t="s">
        <v>988</v>
      </c>
      <c r="T372" t="s">
        <v>1321</v>
      </c>
      <c r="U372" s="1" t="s">
        <v>1322</v>
      </c>
    </row>
    <row r="373" spans="1:21" x14ac:dyDescent="0.25">
      <c r="A373" t="s">
        <v>324</v>
      </c>
      <c r="B373" t="s">
        <v>2242</v>
      </c>
      <c r="C373" t="s">
        <v>332</v>
      </c>
      <c r="D373" t="s">
        <v>1723</v>
      </c>
      <c r="E373" t="str">
        <f>+CONCATENATE(D373,". FABRICADO EN ",M373,". PUNTERA DE ",N373,". PLANTILLA ",O373,". SUELA DE ",P373)</f>
        <v>ZAPATO S1+PL+CI+HI+FO+SR+ESD Amarillo 42. FABRICADO EN TEXTIL. PUNTERA DE Fibra de vidrio. PLANTILLA Antiperforación textil. SUELA DE EVA/CAUCHO-NITRILO</v>
      </c>
      <c r="F373" t="str">
        <f>PROPER(E373)</f>
        <v>Zapato S1+Pl+Ci+Hi+Fo+Sr+Esd Amarillo 42. Fabricado En Textil. Puntera De Fibra De Vidrio. Plantilla Antiperforación Textil. Suela De Eva/Caucho-Nitrilo</v>
      </c>
      <c r="G373" s="24">
        <v>38.9</v>
      </c>
      <c r="H373" s="24">
        <f>+G373/0.72</f>
        <v>54.027777777777779</v>
      </c>
      <c r="I373" s="24">
        <f>+H373*1.21</f>
        <v>65.373611111111117</v>
      </c>
      <c r="J373" s="24" t="s">
        <v>2359</v>
      </c>
      <c r="K373" s="24" t="s">
        <v>2371</v>
      </c>
      <c r="L373" t="s">
        <v>1406</v>
      </c>
      <c r="M373" t="s">
        <v>1418</v>
      </c>
      <c r="N373" t="s">
        <v>1425</v>
      </c>
      <c r="O373" t="s">
        <v>1428</v>
      </c>
      <c r="P373" t="s">
        <v>1431</v>
      </c>
      <c r="Q373">
        <v>42</v>
      </c>
      <c r="R373" s="2">
        <v>8457780314155</v>
      </c>
      <c r="S373" s="3" t="s">
        <v>989</v>
      </c>
      <c r="T373" t="s">
        <v>1321</v>
      </c>
      <c r="U373" s="1" t="s">
        <v>1322</v>
      </c>
    </row>
    <row r="374" spans="1:21" x14ac:dyDescent="0.25">
      <c r="A374" t="s">
        <v>324</v>
      </c>
      <c r="B374" t="s">
        <v>2242</v>
      </c>
      <c r="C374" t="s">
        <v>333</v>
      </c>
      <c r="D374" t="s">
        <v>1724</v>
      </c>
      <c r="E374" t="str">
        <f>+CONCATENATE(D374,". FABRICADO EN ",M374,". PUNTERA DE ",N374,". PLANTILLA ",O374,". SUELA DE ",P374)</f>
        <v>ZAPATO S1+PL+CI+HI+FO+SR+ESD Amarillo 43. FABRICADO EN TEXTIL. PUNTERA DE Fibra de vidrio. PLANTILLA Antiperforación textil. SUELA DE EVA/CAUCHO-NITRILO</v>
      </c>
      <c r="F374" t="str">
        <f>PROPER(E374)</f>
        <v>Zapato S1+Pl+Ci+Hi+Fo+Sr+Esd Amarillo 43. Fabricado En Textil. Puntera De Fibra De Vidrio. Plantilla Antiperforación Textil. Suela De Eva/Caucho-Nitrilo</v>
      </c>
      <c r="G374" s="24">
        <v>38.9</v>
      </c>
      <c r="H374" s="24">
        <f>+G374/0.72</f>
        <v>54.027777777777779</v>
      </c>
      <c r="I374" s="24">
        <f>+H374*1.21</f>
        <v>65.373611111111117</v>
      </c>
      <c r="J374" s="24" t="s">
        <v>2359</v>
      </c>
      <c r="K374" s="24" t="s">
        <v>2371</v>
      </c>
      <c r="L374" t="s">
        <v>1406</v>
      </c>
      <c r="M374" t="s">
        <v>1418</v>
      </c>
      <c r="N374" t="s">
        <v>1425</v>
      </c>
      <c r="O374" t="s">
        <v>1428</v>
      </c>
      <c r="P374" t="s">
        <v>1431</v>
      </c>
      <c r="Q374">
        <v>43</v>
      </c>
      <c r="R374" s="2">
        <v>8457780314162</v>
      </c>
      <c r="S374" s="3" t="s">
        <v>990</v>
      </c>
      <c r="T374" t="s">
        <v>1321</v>
      </c>
      <c r="U374" s="1" t="s">
        <v>1322</v>
      </c>
    </row>
    <row r="375" spans="1:21" x14ac:dyDescent="0.25">
      <c r="A375" t="s">
        <v>324</v>
      </c>
      <c r="B375" t="s">
        <v>2242</v>
      </c>
      <c r="C375" t="s">
        <v>334</v>
      </c>
      <c r="D375" t="s">
        <v>1725</v>
      </c>
      <c r="E375" t="str">
        <f>+CONCATENATE(D375,". FABRICADO EN ",M375,". PUNTERA DE ",N375,". PLANTILLA ",O375,". SUELA DE ",P375)</f>
        <v>ZAPATO S1+PL+CI+HI+FO+SR+ESD Amarillo 44. FABRICADO EN TEXTIL. PUNTERA DE Fibra de vidrio. PLANTILLA Antiperforación textil. SUELA DE EVA/CAUCHO-NITRILO</v>
      </c>
      <c r="F375" t="str">
        <f>PROPER(E375)</f>
        <v>Zapato S1+Pl+Ci+Hi+Fo+Sr+Esd Amarillo 44. Fabricado En Textil. Puntera De Fibra De Vidrio. Plantilla Antiperforación Textil. Suela De Eva/Caucho-Nitrilo</v>
      </c>
      <c r="G375" s="24">
        <v>38.9</v>
      </c>
      <c r="H375" s="24">
        <f>+G375/0.72</f>
        <v>54.027777777777779</v>
      </c>
      <c r="I375" s="24">
        <f>+H375*1.21</f>
        <v>65.373611111111117</v>
      </c>
      <c r="J375" s="24" t="s">
        <v>2359</v>
      </c>
      <c r="K375" s="24" t="s">
        <v>2371</v>
      </c>
      <c r="L375" t="s">
        <v>1406</v>
      </c>
      <c r="M375" t="s">
        <v>1418</v>
      </c>
      <c r="N375" t="s">
        <v>1425</v>
      </c>
      <c r="O375" t="s">
        <v>1428</v>
      </c>
      <c r="P375" t="s">
        <v>1431</v>
      </c>
      <c r="Q375">
        <v>44</v>
      </c>
      <c r="R375" s="2">
        <v>8457780314179</v>
      </c>
      <c r="S375" s="3" t="s">
        <v>991</v>
      </c>
      <c r="T375" t="s">
        <v>1321</v>
      </c>
      <c r="U375" s="1" t="s">
        <v>1322</v>
      </c>
    </row>
    <row r="376" spans="1:21" x14ac:dyDescent="0.25">
      <c r="A376" t="s">
        <v>324</v>
      </c>
      <c r="B376" t="s">
        <v>2242</v>
      </c>
      <c r="C376" t="s">
        <v>335</v>
      </c>
      <c r="D376" t="s">
        <v>1726</v>
      </c>
      <c r="E376" t="str">
        <f>+CONCATENATE(D376,". FABRICADO EN ",M376,". PUNTERA DE ",N376,". PLANTILLA ",O376,". SUELA DE ",P376)</f>
        <v>ZAPATO S1+PL+CI+HI+FO+SR+ESD Amarillo 45. FABRICADO EN TEXTIL. PUNTERA DE Fibra de vidrio. PLANTILLA Antiperforación textil. SUELA DE EVA/CAUCHO-NITRILO</v>
      </c>
      <c r="F376" t="str">
        <f>PROPER(E376)</f>
        <v>Zapato S1+Pl+Ci+Hi+Fo+Sr+Esd Amarillo 45. Fabricado En Textil. Puntera De Fibra De Vidrio. Plantilla Antiperforación Textil. Suela De Eva/Caucho-Nitrilo</v>
      </c>
      <c r="G376" s="24">
        <v>38.9</v>
      </c>
      <c r="H376" s="24">
        <f>+G376/0.72</f>
        <v>54.027777777777779</v>
      </c>
      <c r="I376" s="24">
        <f>+H376*1.21</f>
        <v>65.373611111111117</v>
      </c>
      <c r="J376" s="24" t="s">
        <v>2359</v>
      </c>
      <c r="K376" s="24" t="s">
        <v>2371</v>
      </c>
      <c r="L376" t="s">
        <v>1406</v>
      </c>
      <c r="M376" t="s">
        <v>1418</v>
      </c>
      <c r="N376" t="s">
        <v>1425</v>
      </c>
      <c r="O376" t="s">
        <v>1428</v>
      </c>
      <c r="P376" t="s">
        <v>1431</v>
      </c>
      <c r="Q376">
        <v>45</v>
      </c>
      <c r="R376" s="2">
        <v>8457780314186</v>
      </c>
      <c r="S376" s="3" t="s">
        <v>992</v>
      </c>
      <c r="T376" t="s">
        <v>1321</v>
      </c>
      <c r="U376" s="1" t="s">
        <v>1322</v>
      </c>
    </row>
    <row r="377" spans="1:21" x14ac:dyDescent="0.25">
      <c r="A377" t="s">
        <v>324</v>
      </c>
      <c r="B377" t="s">
        <v>2242</v>
      </c>
      <c r="C377" t="s">
        <v>336</v>
      </c>
      <c r="D377" t="s">
        <v>1727</v>
      </c>
      <c r="E377" t="str">
        <f>+CONCATENATE(D377,". FABRICADO EN ",M377,". PUNTERA DE ",N377,". PLANTILLA ",O377,". SUELA DE ",P377)</f>
        <v>ZAPATO S1+PL+CI+HI+FO+SR+ESD Amarillo 46. FABRICADO EN TEXTIL. PUNTERA DE Fibra de vidrio. PLANTILLA Antiperforación textil. SUELA DE EVA/CAUCHO-NITRILO</v>
      </c>
      <c r="F377" t="str">
        <f>PROPER(E377)</f>
        <v>Zapato S1+Pl+Ci+Hi+Fo+Sr+Esd Amarillo 46. Fabricado En Textil. Puntera De Fibra De Vidrio. Plantilla Antiperforación Textil. Suela De Eva/Caucho-Nitrilo</v>
      </c>
      <c r="G377" s="24">
        <v>38.9</v>
      </c>
      <c r="H377" s="24">
        <f>+G377/0.72</f>
        <v>54.027777777777779</v>
      </c>
      <c r="I377" s="24">
        <f>+H377*1.21</f>
        <v>65.373611111111117</v>
      </c>
      <c r="J377" s="24" t="s">
        <v>2359</v>
      </c>
      <c r="K377" s="24" t="s">
        <v>2371</v>
      </c>
      <c r="L377" t="s">
        <v>1406</v>
      </c>
      <c r="M377" t="s">
        <v>1418</v>
      </c>
      <c r="N377" t="s">
        <v>1425</v>
      </c>
      <c r="O377" t="s">
        <v>1428</v>
      </c>
      <c r="P377" t="s">
        <v>1431</v>
      </c>
      <c r="Q377">
        <v>46</v>
      </c>
      <c r="R377" s="2">
        <v>8457780314193</v>
      </c>
      <c r="S377" s="3" t="s">
        <v>993</v>
      </c>
      <c r="T377" t="s">
        <v>1321</v>
      </c>
      <c r="U377" s="1" t="s">
        <v>1322</v>
      </c>
    </row>
    <row r="378" spans="1:21" x14ac:dyDescent="0.25">
      <c r="A378" t="s">
        <v>324</v>
      </c>
      <c r="B378" t="s">
        <v>2242</v>
      </c>
      <c r="C378" t="s">
        <v>337</v>
      </c>
      <c r="D378" t="s">
        <v>1728</v>
      </c>
      <c r="E378" t="str">
        <f>+CONCATENATE(D378,". FABRICADO EN ",M378,". PUNTERA DE ",N378,". PLANTILLA ",O378,". SUELA DE ",P378)</f>
        <v>ZAPATO S1+PL+CI+HI+FO+SR+ESD Amarillo 47. FABRICADO EN TEXTIL. PUNTERA DE Fibra de vidrio. PLANTILLA Antiperforación textil. SUELA DE EVA/CAUCHO-NITRILO</v>
      </c>
      <c r="F378" t="str">
        <f>PROPER(E378)</f>
        <v>Zapato S1+Pl+Ci+Hi+Fo+Sr+Esd Amarillo 47. Fabricado En Textil. Puntera De Fibra De Vidrio. Plantilla Antiperforación Textil. Suela De Eva/Caucho-Nitrilo</v>
      </c>
      <c r="G378" s="24">
        <v>38.9</v>
      </c>
      <c r="H378" s="24">
        <f>+G378/0.72</f>
        <v>54.027777777777779</v>
      </c>
      <c r="I378" s="24">
        <f>+H378*1.21</f>
        <v>65.373611111111117</v>
      </c>
      <c r="J378" s="24" t="s">
        <v>2359</v>
      </c>
      <c r="K378" s="24" t="s">
        <v>2371</v>
      </c>
      <c r="L378" t="s">
        <v>1406</v>
      </c>
      <c r="M378" t="s">
        <v>1418</v>
      </c>
      <c r="N378" t="s">
        <v>1425</v>
      </c>
      <c r="O378" t="s">
        <v>1428</v>
      </c>
      <c r="P378" t="s">
        <v>1431</v>
      </c>
      <c r="Q378">
        <v>47</v>
      </c>
      <c r="R378" s="2">
        <v>8457780314209</v>
      </c>
      <c r="S378" s="3" t="s">
        <v>994</v>
      </c>
      <c r="T378" t="s">
        <v>1321</v>
      </c>
      <c r="U378" s="1" t="s">
        <v>1322</v>
      </c>
    </row>
    <row r="379" spans="1:21" x14ac:dyDescent="0.25">
      <c r="A379" t="s">
        <v>324</v>
      </c>
      <c r="B379" t="s">
        <v>2242</v>
      </c>
      <c r="C379" t="s">
        <v>338</v>
      </c>
      <c r="D379" t="s">
        <v>1729</v>
      </c>
      <c r="E379" t="str">
        <f>+CONCATENATE(D379,". FABRICADO EN ",M379,". PUNTERA DE ",N379,". PLANTILLA ",O379,". SUELA DE ",P379)</f>
        <v>ZAPATO S1+PL+CI+HI+FO+SR+ESD Amarillo 48. FABRICADO EN TEXTIL. PUNTERA DE Fibra de vidrio. PLANTILLA Antiperforación textil. SUELA DE EVA/CAUCHO-NITRILO</v>
      </c>
      <c r="F379" t="str">
        <f>PROPER(E379)</f>
        <v>Zapato S1+Pl+Ci+Hi+Fo+Sr+Esd Amarillo 48. Fabricado En Textil. Puntera De Fibra De Vidrio. Plantilla Antiperforación Textil. Suela De Eva/Caucho-Nitrilo</v>
      </c>
      <c r="G379" s="24">
        <v>38.9</v>
      </c>
      <c r="H379" s="24">
        <f>+G379/0.72</f>
        <v>54.027777777777779</v>
      </c>
      <c r="I379" s="24">
        <f>+H379*1.21</f>
        <v>65.373611111111117</v>
      </c>
      <c r="J379" s="24" t="s">
        <v>2359</v>
      </c>
      <c r="K379" s="24" t="s">
        <v>2371</v>
      </c>
      <c r="L379" t="s">
        <v>1406</v>
      </c>
      <c r="M379" t="s">
        <v>1418</v>
      </c>
      <c r="N379" t="s">
        <v>1425</v>
      </c>
      <c r="O379" t="s">
        <v>1428</v>
      </c>
      <c r="P379" t="s">
        <v>1431</v>
      </c>
      <c r="Q379">
        <v>48</v>
      </c>
      <c r="R379" s="2">
        <v>8457780314216</v>
      </c>
      <c r="S379" s="3" t="s">
        <v>995</v>
      </c>
      <c r="T379" t="s">
        <v>1321</v>
      </c>
      <c r="U379" s="1" t="s">
        <v>1322</v>
      </c>
    </row>
    <row r="380" spans="1:21" x14ac:dyDescent="0.25">
      <c r="A380" t="s">
        <v>339</v>
      </c>
      <c r="B380" t="s">
        <v>2243</v>
      </c>
      <c r="C380" t="s">
        <v>340</v>
      </c>
      <c r="D380" t="s">
        <v>1730</v>
      </c>
      <c r="E380" t="str">
        <f>+CONCATENATE(D380,". FABRICADO EN ",M380,". PUNTERA DE ",N380,". PLANTILLA ",O380,". SUELA DE ",P380)</f>
        <v>ZAPATO S1+PL+CI+HI+FO+SR+ESD Azulina 35. FABRICADO EN TEXTIL. PUNTERA DE Fibra de vidrio. PLANTILLA Antiperforación textil. SUELA DE EVA/CAUCHO-NITRILO</v>
      </c>
      <c r="F380" t="str">
        <f>PROPER(E380)</f>
        <v>Zapato S1+Pl+Ci+Hi+Fo+Sr+Esd Azulina 35. Fabricado En Textil. Puntera De Fibra De Vidrio. Plantilla Antiperforación Textil. Suela De Eva/Caucho-Nitrilo</v>
      </c>
      <c r="G380" s="24">
        <v>38.9</v>
      </c>
      <c r="H380" s="24">
        <f>+G380/0.72</f>
        <v>54.027777777777779</v>
      </c>
      <c r="I380" s="24">
        <f>+H380*1.21</f>
        <v>65.373611111111117</v>
      </c>
      <c r="J380" s="24" t="s">
        <v>2359</v>
      </c>
      <c r="K380" s="24" t="s">
        <v>2371</v>
      </c>
      <c r="L380" t="s">
        <v>1402</v>
      </c>
      <c r="M380" t="s">
        <v>1418</v>
      </c>
      <c r="N380" t="s">
        <v>1425</v>
      </c>
      <c r="O380" t="s">
        <v>1428</v>
      </c>
      <c r="P380" t="s">
        <v>1431</v>
      </c>
      <c r="Q380">
        <v>35</v>
      </c>
      <c r="R380" s="2">
        <v>8457780314223</v>
      </c>
      <c r="S380" s="3" t="s">
        <v>996</v>
      </c>
      <c r="T380" t="s">
        <v>1323</v>
      </c>
      <c r="U380" t="s">
        <v>1324</v>
      </c>
    </row>
    <row r="381" spans="1:21" x14ac:dyDescent="0.25">
      <c r="A381" t="s">
        <v>339</v>
      </c>
      <c r="B381" t="s">
        <v>2243</v>
      </c>
      <c r="C381" t="s">
        <v>341</v>
      </c>
      <c r="D381" t="s">
        <v>1731</v>
      </c>
      <c r="E381" t="str">
        <f>+CONCATENATE(D381,". FABRICADO EN ",M381,". PUNTERA DE ",N381,". PLANTILLA ",O381,". SUELA DE ",P381)</f>
        <v>ZAPATO S1+PL+CI+HI+FO+SR+ESD Azulina 36. FABRICADO EN TEXTIL. PUNTERA DE Fibra de vidrio. PLANTILLA Antiperforación textil. SUELA DE EVA/CAUCHO-NITRILO</v>
      </c>
      <c r="F381" t="str">
        <f>PROPER(E381)</f>
        <v>Zapato S1+Pl+Ci+Hi+Fo+Sr+Esd Azulina 36. Fabricado En Textil. Puntera De Fibra De Vidrio. Plantilla Antiperforación Textil. Suela De Eva/Caucho-Nitrilo</v>
      </c>
      <c r="G381" s="24">
        <v>38.9</v>
      </c>
      <c r="H381" s="24">
        <f>+G381/0.72</f>
        <v>54.027777777777779</v>
      </c>
      <c r="I381" s="24">
        <f>+H381*1.21</f>
        <v>65.373611111111117</v>
      </c>
      <c r="J381" s="24" t="s">
        <v>2359</v>
      </c>
      <c r="K381" s="24" t="s">
        <v>2371</v>
      </c>
      <c r="L381" t="s">
        <v>1402</v>
      </c>
      <c r="M381" t="s">
        <v>1418</v>
      </c>
      <c r="N381" t="s">
        <v>1425</v>
      </c>
      <c r="O381" t="s">
        <v>1428</v>
      </c>
      <c r="P381" t="s">
        <v>1431</v>
      </c>
      <c r="Q381">
        <v>36</v>
      </c>
      <c r="R381" s="2">
        <v>8457780314230</v>
      </c>
      <c r="S381" s="3" t="s">
        <v>997</v>
      </c>
      <c r="T381" t="s">
        <v>1323</v>
      </c>
      <c r="U381" t="s">
        <v>1324</v>
      </c>
    </row>
    <row r="382" spans="1:21" x14ac:dyDescent="0.25">
      <c r="A382" t="s">
        <v>339</v>
      </c>
      <c r="B382" t="s">
        <v>2243</v>
      </c>
      <c r="C382" t="s">
        <v>342</v>
      </c>
      <c r="D382" t="s">
        <v>1732</v>
      </c>
      <c r="E382" t="str">
        <f>+CONCATENATE(D382,". FABRICADO EN ",M382,". PUNTERA DE ",N382,". PLANTILLA ",O382,". SUELA DE ",P382)</f>
        <v>ZAPATO S1+PL+CI+HI+FO+SR+ESD Azulina 37. FABRICADO EN TEXTIL. PUNTERA DE Fibra de vidrio. PLANTILLA Antiperforación textil. SUELA DE EVA/CAUCHO-NITRILO</v>
      </c>
      <c r="F382" t="str">
        <f>PROPER(E382)</f>
        <v>Zapato S1+Pl+Ci+Hi+Fo+Sr+Esd Azulina 37. Fabricado En Textil. Puntera De Fibra De Vidrio. Plantilla Antiperforación Textil. Suela De Eva/Caucho-Nitrilo</v>
      </c>
      <c r="G382" s="24">
        <v>38.9</v>
      </c>
      <c r="H382" s="24">
        <f>+G382/0.72</f>
        <v>54.027777777777779</v>
      </c>
      <c r="I382" s="24">
        <f>+H382*1.21</f>
        <v>65.373611111111117</v>
      </c>
      <c r="J382" s="24" t="s">
        <v>2359</v>
      </c>
      <c r="K382" s="24" t="s">
        <v>2371</v>
      </c>
      <c r="L382" t="s">
        <v>1402</v>
      </c>
      <c r="M382" t="s">
        <v>1418</v>
      </c>
      <c r="N382" t="s">
        <v>1425</v>
      </c>
      <c r="O382" t="s">
        <v>1428</v>
      </c>
      <c r="P382" t="s">
        <v>1431</v>
      </c>
      <c r="Q382">
        <v>37</v>
      </c>
      <c r="R382" s="2">
        <v>8457780314247</v>
      </c>
      <c r="S382" s="3" t="s">
        <v>998</v>
      </c>
      <c r="T382" t="s">
        <v>1323</v>
      </c>
      <c r="U382" t="s">
        <v>1324</v>
      </c>
    </row>
    <row r="383" spans="1:21" x14ac:dyDescent="0.25">
      <c r="A383" t="s">
        <v>339</v>
      </c>
      <c r="B383" t="s">
        <v>2243</v>
      </c>
      <c r="C383" t="s">
        <v>343</v>
      </c>
      <c r="D383" t="s">
        <v>1733</v>
      </c>
      <c r="E383" t="str">
        <f>+CONCATENATE(D383,". FABRICADO EN ",M383,". PUNTERA DE ",N383,". PLANTILLA ",O383,". SUELA DE ",P383)</f>
        <v>ZAPATO S1+PL+CI+HI+FO+SR+ESD Azulina 38. FABRICADO EN TEXTIL. PUNTERA DE Fibra de vidrio. PLANTILLA Antiperforación textil. SUELA DE EVA/CAUCHO-NITRILO</v>
      </c>
      <c r="F383" t="str">
        <f>PROPER(E383)</f>
        <v>Zapato S1+Pl+Ci+Hi+Fo+Sr+Esd Azulina 38. Fabricado En Textil. Puntera De Fibra De Vidrio. Plantilla Antiperforación Textil. Suela De Eva/Caucho-Nitrilo</v>
      </c>
      <c r="G383" s="24">
        <v>38.9</v>
      </c>
      <c r="H383" s="24">
        <f>+G383/0.72</f>
        <v>54.027777777777779</v>
      </c>
      <c r="I383" s="24">
        <f>+H383*1.21</f>
        <v>65.373611111111117</v>
      </c>
      <c r="J383" s="24" t="s">
        <v>2359</v>
      </c>
      <c r="K383" s="24" t="s">
        <v>2371</v>
      </c>
      <c r="L383" t="s">
        <v>1402</v>
      </c>
      <c r="M383" t="s">
        <v>1418</v>
      </c>
      <c r="N383" t="s">
        <v>1425</v>
      </c>
      <c r="O383" t="s">
        <v>1428</v>
      </c>
      <c r="P383" t="s">
        <v>1431</v>
      </c>
      <c r="Q383">
        <v>38</v>
      </c>
      <c r="R383" s="2">
        <v>8457780314254</v>
      </c>
      <c r="S383" s="3" t="s">
        <v>999</v>
      </c>
      <c r="T383" t="s">
        <v>1323</v>
      </c>
      <c r="U383" t="s">
        <v>1324</v>
      </c>
    </row>
    <row r="384" spans="1:21" x14ac:dyDescent="0.25">
      <c r="A384" t="s">
        <v>339</v>
      </c>
      <c r="B384" t="s">
        <v>2243</v>
      </c>
      <c r="C384" t="s">
        <v>344</v>
      </c>
      <c r="D384" t="s">
        <v>1734</v>
      </c>
      <c r="E384" t="str">
        <f>+CONCATENATE(D384,". FABRICADO EN ",M384,". PUNTERA DE ",N384,". PLANTILLA ",O384,". SUELA DE ",P384)</f>
        <v>ZAPATO S1+PL+CI+HI+FO+SR+ESD Azulina 39. FABRICADO EN TEXTIL. PUNTERA DE Fibra de vidrio. PLANTILLA Antiperforación textil. SUELA DE EVA/CAUCHO-NITRILO</v>
      </c>
      <c r="F384" t="str">
        <f>PROPER(E384)</f>
        <v>Zapato S1+Pl+Ci+Hi+Fo+Sr+Esd Azulina 39. Fabricado En Textil. Puntera De Fibra De Vidrio. Plantilla Antiperforación Textil. Suela De Eva/Caucho-Nitrilo</v>
      </c>
      <c r="G384" s="24">
        <v>38.9</v>
      </c>
      <c r="H384" s="24">
        <f>+G384/0.72</f>
        <v>54.027777777777779</v>
      </c>
      <c r="I384" s="24">
        <f>+H384*1.21</f>
        <v>65.373611111111117</v>
      </c>
      <c r="J384" s="24" t="s">
        <v>2359</v>
      </c>
      <c r="K384" s="24" t="s">
        <v>2371</v>
      </c>
      <c r="L384" t="s">
        <v>1402</v>
      </c>
      <c r="M384" t="s">
        <v>1418</v>
      </c>
      <c r="N384" t="s">
        <v>1425</v>
      </c>
      <c r="O384" t="s">
        <v>1428</v>
      </c>
      <c r="P384" t="s">
        <v>1431</v>
      </c>
      <c r="Q384">
        <v>39</v>
      </c>
      <c r="R384" s="2">
        <v>8457780314261</v>
      </c>
      <c r="S384" s="3" t="s">
        <v>1000</v>
      </c>
      <c r="T384" t="s">
        <v>1323</v>
      </c>
      <c r="U384" t="s">
        <v>1324</v>
      </c>
    </row>
    <row r="385" spans="1:21" x14ac:dyDescent="0.25">
      <c r="A385" t="s">
        <v>339</v>
      </c>
      <c r="B385" t="s">
        <v>2243</v>
      </c>
      <c r="C385" t="s">
        <v>345</v>
      </c>
      <c r="D385" t="s">
        <v>1735</v>
      </c>
      <c r="E385" t="str">
        <f>+CONCATENATE(D385,". FABRICADO EN ",M385,". PUNTERA DE ",N385,". PLANTILLA ",O385,". SUELA DE ",P385)</f>
        <v>ZAPATO S1+PL+CI+HI+FO+SR+ESD Azulina 40. FABRICADO EN TEXTIL. PUNTERA DE Fibra de vidrio. PLANTILLA Antiperforación textil. SUELA DE EVA/CAUCHO-NITRILO</v>
      </c>
      <c r="F385" t="str">
        <f>PROPER(E385)</f>
        <v>Zapato S1+Pl+Ci+Hi+Fo+Sr+Esd Azulina 40. Fabricado En Textil. Puntera De Fibra De Vidrio. Plantilla Antiperforación Textil. Suela De Eva/Caucho-Nitrilo</v>
      </c>
      <c r="G385" s="24">
        <v>38.9</v>
      </c>
      <c r="H385" s="24">
        <f>+G385/0.72</f>
        <v>54.027777777777779</v>
      </c>
      <c r="I385" s="24">
        <f>+H385*1.21</f>
        <v>65.373611111111117</v>
      </c>
      <c r="J385" s="24" t="s">
        <v>2359</v>
      </c>
      <c r="K385" s="24" t="s">
        <v>2371</v>
      </c>
      <c r="L385" t="s">
        <v>1402</v>
      </c>
      <c r="M385" t="s">
        <v>1418</v>
      </c>
      <c r="N385" t="s">
        <v>1425</v>
      </c>
      <c r="O385" t="s">
        <v>1428</v>
      </c>
      <c r="P385" t="s">
        <v>1431</v>
      </c>
      <c r="Q385">
        <v>40</v>
      </c>
      <c r="R385" s="2">
        <v>8457780314278</v>
      </c>
      <c r="S385" s="3" t="s">
        <v>1001</v>
      </c>
      <c r="T385" t="s">
        <v>1323</v>
      </c>
      <c r="U385" t="s">
        <v>1324</v>
      </c>
    </row>
    <row r="386" spans="1:21" x14ac:dyDescent="0.25">
      <c r="A386" t="s">
        <v>339</v>
      </c>
      <c r="B386" t="s">
        <v>2243</v>
      </c>
      <c r="C386" t="s">
        <v>346</v>
      </c>
      <c r="D386" t="s">
        <v>1736</v>
      </c>
      <c r="E386" t="str">
        <f>+CONCATENATE(D386,". FABRICADO EN ",M386,". PUNTERA DE ",N386,". PLANTILLA ",O386,". SUELA DE ",P386)</f>
        <v>ZAPATO S1+PL+CI+HI+FO+SR+ESD Azulina 41. FABRICADO EN TEXTIL. PUNTERA DE Fibra de vidrio. PLANTILLA Antiperforación textil. SUELA DE EVA/CAUCHO-NITRILO</v>
      </c>
      <c r="F386" t="str">
        <f>PROPER(E386)</f>
        <v>Zapato S1+Pl+Ci+Hi+Fo+Sr+Esd Azulina 41. Fabricado En Textil. Puntera De Fibra De Vidrio. Plantilla Antiperforación Textil. Suela De Eva/Caucho-Nitrilo</v>
      </c>
      <c r="G386" s="24">
        <v>38.9</v>
      </c>
      <c r="H386" s="24">
        <f>+G386/0.72</f>
        <v>54.027777777777779</v>
      </c>
      <c r="I386" s="24">
        <f>+H386*1.21</f>
        <v>65.373611111111117</v>
      </c>
      <c r="J386" s="24" t="s">
        <v>2359</v>
      </c>
      <c r="K386" s="24" t="s">
        <v>2371</v>
      </c>
      <c r="L386" t="s">
        <v>1402</v>
      </c>
      <c r="M386" t="s">
        <v>1418</v>
      </c>
      <c r="N386" t="s">
        <v>1425</v>
      </c>
      <c r="O386" t="s">
        <v>1428</v>
      </c>
      <c r="P386" t="s">
        <v>1431</v>
      </c>
      <c r="Q386">
        <v>41</v>
      </c>
      <c r="R386" s="2">
        <v>8457780314285</v>
      </c>
      <c r="S386" s="3" t="s">
        <v>1002</v>
      </c>
      <c r="T386" t="s">
        <v>1323</v>
      </c>
      <c r="U386" t="s">
        <v>1324</v>
      </c>
    </row>
    <row r="387" spans="1:21" x14ac:dyDescent="0.25">
      <c r="A387" t="s">
        <v>339</v>
      </c>
      <c r="B387" t="s">
        <v>2243</v>
      </c>
      <c r="C387" t="s">
        <v>347</v>
      </c>
      <c r="D387" t="s">
        <v>1737</v>
      </c>
      <c r="E387" t="str">
        <f>+CONCATENATE(D387,". FABRICADO EN ",M387,". PUNTERA DE ",N387,". PLANTILLA ",O387,". SUELA DE ",P387)</f>
        <v>ZAPATO S1+PL+CI+HI+FO+SR+ESD Azulina 42. FABRICADO EN TEXTIL. PUNTERA DE Fibra de vidrio. PLANTILLA Antiperforación textil. SUELA DE EVA/CAUCHO-NITRILO</v>
      </c>
      <c r="F387" t="str">
        <f>PROPER(E387)</f>
        <v>Zapato S1+Pl+Ci+Hi+Fo+Sr+Esd Azulina 42. Fabricado En Textil. Puntera De Fibra De Vidrio. Plantilla Antiperforación Textil. Suela De Eva/Caucho-Nitrilo</v>
      </c>
      <c r="G387" s="24">
        <v>38.9</v>
      </c>
      <c r="H387" s="24">
        <f>+G387/0.72</f>
        <v>54.027777777777779</v>
      </c>
      <c r="I387" s="24">
        <f>+H387*1.21</f>
        <v>65.373611111111117</v>
      </c>
      <c r="J387" s="24" t="s">
        <v>2359</v>
      </c>
      <c r="K387" s="24" t="s">
        <v>2371</v>
      </c>
      <c r="L387" t="s">
        <v>1402</v>
      </c>
      <c r="M387" t="s">
        <v>1418</v>
      </c>
      <c r="N387" t="s">
        <v>1425</v>
      </c>
      <c r="O387" t="s">
        <v>1428</v>
      </c>
      <c r="P387" t="s">
        <v>1431</v>
      </c>
      <c r="Q387">
        <v>42</v>
      </c>
      <c r="R387" s="2">
        <v>8457780314292</v>
      </c>
      <c r="S387" s="3" t="s">
        <v>1003</v>
      </c>
      <c r="T387" t="s">
        <v>1323</v>
      </c>
      <c r="U387" t="s">
        <v>1324</v>
      </c>
    </row>
    <row r="388" spans="1:21" x14ac:dyDescent="0.25">
      <c r="A388" t="s">
        <v>339</v>
      </c>
      <c r="B388" t="s">
        <v>2243</v>
      </c>
      <c r="C388" t="s">
        <v>348</v>
      </c>
      <c r="D388" t="s">
        <v>1738</v>
      </c>
      <c r="E388" t="str">
        <f>+CONCATENATE(D388,". FABRICADO EN ",M388,". PUNTERA DE ",N388,". PLANTILLA ",O388,". SUELA DE ",P388)</f>
        <v>ZAPATO S1+PL+CI+HI+FO+SR+ESD Azulina 43. FABRICADO EN TEXTIL. PUNTERA DE Fibra de vidrio. PLANTILLA Antiperforación textil. SUELA DE EVA/CAUCHO-NITRILO</v>
      </c>
      <c r="F388" t="str">
        <f>PROPER(E388)</f>
        <v>Zapato S1+Pl+Ci+Hi+Fo+Sr+Esd Azulina 43. Fabricado En Textil. Puntera De Fibra De Vidrio. Plantilla Antiperforación Textil. Suela De Eva/Caucho-Nitrilo</v>
      </c>
      <c r="G388" s="24">
        <v>38.9</v>
      </c>
      <c r="H388" s="24">
        <f>+G388/0.72</f>
        <v>54.027777777777779</v>
      </c>
      <c r="I388" s="24">
        <f>+H388*1.21</f>
        <v>65.373611111111117</v>
      </c>
      <c r="J388" s="24" t="s">
        <v>2359</v>
      </c>
      <c r="K388" s="24" t="s">
        <v>2371</v>
      </c>
      <c r="L388" t="s">
        <v>1402</v>
      </c>
      <c r="M388" t="s">
        <v>1418</v>
      </c>
      <c r="N388" t="s">
        <v>1425</v>
      </c>
      <c r="O388" t="s">
        <v>1428</v>
      </c>
      <c r="P388" t="s">
        <v>1431</v>
      </c>
      <c r="Q388">
        <v>43</v>
      </c>
      <c r="R388" s="2">
        <v>8457780314308</v>
      </c>
      <c r="S388" s="3" t="s">
        <v>1004</v>
      </c>
      <c r="T388" t="s">
        <v>1323</v>
      </c>
      <c r="U388" t="s">
        <v>1324</v>
      </c>
    </row>
    <row r="389" spans="1:21" x14ac:dyDescent="0.25">
      <c r="A389" t="s">
        <v>339</v>
      </c>
      <c r="B389" t="s">
        <v>2243</v>
      </c>
      <c r="C389" t="s">
        <v>349</v>
      </c>
      <c r="D389" t="s">
        <v>1739</v>
      </c>
      <c r="E389" t="str">
        <f>+CONCATENATE(D389,". FABRICADO EN ",M389,". PUNTERA DE ",N389,". PLANTILLA ",O389,". SUELA DE ",P389)</f>
        <v>ZAPATO S1+PL+CI+HI+FO+SR+ESD Azulina 44. FABRICADO EN TEXTIL. PUNTERA DE Fibra de vidrio. PLANTILLA Antiperforación textil. SUELA DE EVA/CAUCHO-NITRILO</v>
      </c>
      <c r="F389" t="str">
        <f>PROPER(E389)</f>
        <v>Zapato S1+Pl+Ci+Hi+Fo+Sr+Esd Azulina 44. Fabricado En Textil. Puntera De Fibra De Vidrio. Plantilla Antiperforación Textil. Suela De Eva/Caucho-Nitrilo</v>
      </c>
      <c r="G389" s="24">
        <v>38.9</v>
      </c>
      <c r="H389" s="24">
        <f>+G389/0.72</f>
        <v>54.027777777777779</v>
      </c>
      <c r="I389" s="24">
        <f>+H389*1.21</f>
        <v>65.373611111111117</v>
      </c>
      <c r="J389" s="24" t="s">
        <v>2359</v>
      </c>
      <c r="K389" s="24" t="s">
        <v>2371</v>
      </c>
      <c r="L389" t="s">
        <v>1402</v>
      </c>
      <c r="M389" t="s">
        <v>1418</v>
      </c>
      <c r="N389" t="s">
        <v>1425</v>
      </c>
      <c r="O389" t="s">
        <v>1428</v>
      </c>
      <c r="P389" t="s">
        <v>1431</v>
      </c>
      <c r="Q389">
        <v>44</v>
      </c>
      <c r="R389" s="2">
        <v>8457780314315</v>
      </c>
      <c r="S389" s="3" t="s">
        <v>1005</v>
      </c>
      <c r="T389" t="s">
        <v>1323</v>
      </c>
      <c r="U389" t="s">
        <v>1324</v>
      </c>
    </row>
    <row r="390" spans="1:21" x14ac:dyDescent="0.25">
      <c r="A390" t="s">
        <v>339</v>
      </c>
      <c r="B390" t="s">
        <v>2243</v>
      </c>
      <c r="C390" t="s">
        <v>350</v>
      </c>
      <c r="D390" t="s">
        <v>1740</v>
      </c>
      <c r="E390" t="str">
        <f>+CONCATENATE(D390,". FABRICADO EN ",M390,". PUNTERA DE ",N390,". PLANTILLA ",O390,". SUELA DE ",P390)</f>
        <v>ZAPATO S1+PL+CI+HI+FO+SR+ESD Azulina 45. FABRICADO EN TEXTIL. PUNTERA DE Fibra de vidrio. PLANTILLA Antiperforación textil. SUELA DE EVA/CAUCHO-NITRILO</v>
      </c>
      <c r="F390" t="str">
        <f>PROPER(E390)</f>
        <v>Zapato S1+Pl+Ci+Hi+Fo+Sr+Esd Azulina 45. Fabricado En Textil. Puntera De Fibra De Vidrio. Plantilla Antiperforación Textil. Suela De Eva/Caucho-Nitrilo</v>
      </c>
      <c r="G390" s="24">
        <v>38.9</v>
      </c>
      <c r="H390" s="24">
        <f>+G390/0.72</f>
        <v>54.027777777777779</v>
      </c>
      <c r="I390" s="24">
        <f>+H390*1.21</f>
        <v>65.373611111111117</v>
      </c>
      <c r="J390" s="24" t="s">
        <v>2359</v>
      </c>
      <c r="K390" s="24" t="s">
        <v>2371</v>
      </c>
      <c r="L390" t="s">
        <v>1402</v>
      </c>
      <c r="M390" t="s">
        <v>1418</v>
      </c>
      <c r="N390" t="s">
        <v>1425</v>
      </c>
      <c r="O390" t="s">
        <v>1428</v>
      </c>
      <c r="P390" t="s">
        <v>1431</v>
      </c>
      <c r="Q390">
        <v>45</v>
      </c>
      <c r="R390" s="2">
        <v>8457780314322</v>
      </c>
      <c r="S390" s="3" t="s">
        <v>1006</v>
      </c>
      <c r="T390" t="s">
        <v>1323</v>
      </c>
      <c r="U390" t="s">
        <v>1324</v>
      </c>
    </row>
    <row r="391" spans="1:21" x14ac:dyDescent="0.25">
      <c r="A391" t="s">
        <v>339</v>
      </c>
      <c r="B391" t="s">
        <v>2243</v>
      </c>
      <c r="C391" t="s">
        <v>351</v>
      </c>
      <c r="D391" t="s">
        <v>1741</v>
      </c>
      <c r="E391" t="str">
        <f>+CONCATENATE(D391,". FABRICADO EN ",M391,". PUNTERA DE ",N391,". PLANTILLA ",O391,". SUELA DE ",P391)</f>
        <v>ZAPATO S1+PL+CI+HI+FO+SR+ESD Azulina 46. FABRICADO EN TEXTIL. PUNTERA DE Fibra de vidrio. PLANTILLA Antiperforación textil. SUELA DE EVA/CAUCHO-NITRILO</v>
      </c>
      <c r="F391" t="str">
        <f>PROPER(E391)</f>
        <v>Zapato S1+Pl+Ci+Hi+Fo+Sr+Esd Azulina 46. Fabricado En Textil. Puntera De Fibra De Vidrio. Plantilla Antiperforación Textil. Suela De Eva/Caucho-Nitrilo</v>
      </c>
      <c r="G391" s="24">
        <v>38.9</v>
      </c>
      <c r="H391" s="24">
        <f>+G391/0.72</f>
        <v>54.027777777777779</v>
      </c>
      <c r="I391" s="24">
        <f>+H391*1.21</f>
        <v>65.373611111111117</v>
      </c>
      <c r="J391" s="24" t="s">
        <v>2359</v>
      </c>
      <c r="K391" s="24" t="s">
        <v>2371</v>
      </c>
      <c r="L391" t="s">
        <v>1402</v>
      </c>
      <c r="M391" t="s">
        <v>1418</v>
      </c>
      <c r="N391" t="s">
        <v>1425</v>
      </c>
      <c r="O391" t="s">
        <v>1428</v>
      </c>
      <c r="P391" t="s">
        <v>1431</v>
      </c>
      <c r="Q391">
        <v>46</v>
      </c>
      <c r="R391" s="2">
        <v>8457780314339</v>
      </c>
      <c r="S391" s="3" t="s">
        <v>1007</v>
      </c>
      <c r="T391" t="s">
        <v>1323</v>
      </c>
      <c r="U391" t="s">
        <v>1324</v>
      </c>
    </row>
    <row r="392" spans="1:21" x14ac:dyDescent="0.25">
      <c r="A392" t="s">
        <v>339</v>
      </c>
      <c r="B392" t="s">
        <v>2243</v>
      </c>
      <c r="C392" t="s">
        <v>352</v>
      </c>
      <c r="D392" t="s">
        <v>1742</v>
      </c>
      <c r="E392" t="str">
        <f>+CONCATENATE(D392,". FABRICADO EN ",M392,". PUNTERA DE ",N392,". PLANTILLA ",O392,". SUELA DE ",P392)</f>
        <v>ZAPATO S1+PL+CI+HI+FO+SR+ESD Azulina 47. FABRICADO EN TEXTIL. PUNTERA DE Fibra de vidrio. PLANTILLA Antiperforación textil. SUELA DE EVA/CAUCHO-NITRILO</v>
      </c>
      <c r="F392" t="str">
        <f>PROPER(E392)</f>
        <v>Zapato S1+Pl+Ci+Hi+Fo+Sr+Esd Azulina 47. Fabricado En Textil. Puntera De Fibra De Vidrio. Plantilla Antiperforación Textil. Suela De Eva/Caucho-Nitrilo</v>
      </c>
      <c r="G392" s="24">
        <v>38.9</v>
      </c>
      <c r="H392" s="24">
        <f>+G392/0.72</f>
        <v>54.027777777777779</v>
      </c>
      <c r="I392" s="24">
        <f>+H392*1.21</f>
        <v>65.373611111111117</v>
      </c>
      <c r="J392" s="24" t="s">
        <v>2359</v>
      </c>
      <c r="K392" s="24" t="s">
        <v>2371</v>
      </c>
      <c r="L392" t="s">
        <v>1402</v>
      </c>
      <c r="M392" t="s">
        <v>1418</v>
      </c>
      <c r="N392" t="s">
        <v>1425</v>
      </c>
      <c r="O392" t="s">
        <v>1428</v>
      </c>
      <c r="P392" t="s">
        <v>1431</v>
      </c>
      <c r="Q392">
        <v>47</v>
      </c>
      <c r="R392" s="2">
        <v>8457780314346</v>
      </c>
      <c r="S392" s="3" t="s">
        <v>1008</v>
      </c>
      <c r="T392" t="s">
        <v>1323</v>
      </c>
      <c r="U392" t="s">
        <v>1324</v>
      </c>
    </row>
    <row r="393" spans="1:21" x14ac:dyDescent="0.25">
      <c r="A393" t="s">
        <v>339</v>
      </c>
      <c r="B393" t="s">
        <v>2243</v>
      </c>
      <c r="C393" t="s">
        <v>353</v>
      </c>
      <c r="D393" t="s">
        <v>1743</v>
      </c>
      <c r="E393" t="str">
        <f>+CONCATENATE(D393,". FABRICADO EN ",M393,". PUNTERA DE ",N393,". PLANTILLA ",O393,". SUELA DE ",P393)</f>
        <v>ZAPATO S1+PL+CI+HI+FO+SR+ESD Azulina 48. FABRICADO EN TEXTIL. PUNTERA DE Fibra de vidrio. PLANTILLA Antiperforación textil. SUELA DE EVA/CAUCHO-NITRILO</v>
      </c>
      <c r="F393" t="str">
        <f>PROPER(E393)</f>
        <v>Zapato S1+Pl+Ci+Hi+Fo+Sr+Esd Azulina 48. Fabricado En Textil. Puntera De Fibra De Vidrio. Plantilla Antiperforación Textil. Suela De Eva/Caucho-Nitrilo</v>
      </c>
      <c r="G393" s="24">
        <v>38.9</v>
      </c>
      <c r="H393" s="24">
        <f>+G393/0.72</f>
        <v>54.027777777777779</v>
      </c>
      <c r="I393" s="24">
        <f>+H393*1.21</f>
        <v>65.373611111111117</v>
      </c>
      <c r="J393" s="24" t="s">
        <v>2359</v>
      </c>
      <c r="K393" s="24" t="s">
        <v>2371</v>
      </c>
      <c r="L393" t="s">
        <v>1402</v>
      </c>
      <c r="M393" t="s">
        <v>1418</v>
      </c>
      <c r="N393" t="s">
        <v>1425</v>
      </c>
      <c r="O393" t="s">
        <v>1428</v>
      </c>
      <c r="P393" t="s">
        <v>1431</v>
      </c>
      <c r="Q393">
        <v>48</v>
      </c>
      <c r="R393" s="2">
        <v>8457780314353</v>
      </c>
      <c r="S393" s="3" t="s">
        <v>1009</v>
      </c>
      <c r="T393" t="s">
        <v>1323</v>
      </c>
      <c r="U393" t="s">
        <v>1324</v>
      </c>
    </row>
    <row r="394" spans="1:21" x14ac:dyDescent="0.25">
      <c r="A394" t="s">
        <v>354</v>
      </c>
      <c r="B394" t="s">
        <v>2244</v>
      </c>
      <c r="C394" t="s">
        <v>355</v>
      </c>
      <c r="D394" t="s">
        <v>1744</v>
      </c>
      <c r="E394" t="str">
        <f>+CONCATENATE(D394,". FABRICADO EN ",M394,". PUNTERA DE ",N394,". PLANTILLA ",O394,". SUELA DE ",P394)</f>
        <v>BOTA S3S+CI+HI+FO+SC+SR+ESD Negro 35. FABRICADO EN TEXTIL S3. PUNTERA DE Fibra de vidrio. PLANTILLA Antiperforación textil. SUELA DE PU/PU DOBLE DENSIDAD</v>
      </c>
      <c r="F394" t="str">
        <f>PROPER(E394)</f>
        <v>Bota S3S+Ci+Hi+Fo+Sc+Sr+Esd Negro 35. Fabricado En Textil S3. Puntera De Fibra De Vidrio. Plantilla Antiperforación Textil. Suela De Pu/Pu Doble Densidad</v>
      </c>
      <c r="G394" s="24">
        <f>VLOOKUP(B394,Tabla1[],2,0)</f>
        <v>26</v>
      </c>
      <c r="H394" s="24">
        <f>+G394/0.72</f>
        <v>36.111111111111114</v>
      </c>
      <c r="I394" s="24">
        <f>+H394*1.21</f>
        <v>43.69444444444445</v>
      </c>
      <c r="J394" s="24" t="s">
        <v>2326</v>
      </c>
      <c r="K394" s="24" t="s">
        <v>2365</v>
      </c>
      <c r="L394" t="s">
        <v>1392</v>
      </c>
      <c r="M394" t="s">
        <v>1414</v>
      </c>
      <c r="N394" t="s">
        <v>1425</v>
      </c>
      <c r="O394" t="s">
        <v>1428</v>
      </c>
      <c r="P394" t="s">
        <v>1429</v>
      </c>
      <c r="Q394">
        <v>35</v>
      </c>
      <c r="R394" s="2">
        <v>8457780336263</v>
      </c>
      <c r="S394" s="3" t="s">
        <v>1010</v>
      </c>
      <c r="T394" t="s">
        <v>1369</v>
      </c>
    </row>
    <row r="395" spans="1:21" x14ac:dyDescent="0.25">
      <c r="A395" t="s">
        <v>354</v>
      </c>
      <c r="B395" t="s">
        <v>2244</v>
      </c>
      <c r="C395" t="s">
        <v>356</v>
      </c>
      <c r="D395" t="s">
        <v>1745</v>
      </c>
      <c r="E395" t="str">
        <f>+CONCATENATE(D395,". FABRICADO EN ",M395,". PUNTERA DE ",N395,". PLANTILLA ",O395,". SUELA DE ",P395)</f>
        <v>BOTA S3S+CI+HI+FO+SC+SR+ESD Negro 36. FABRICADO EN TEXTIL S3. PUNTERA DE Fibra de vidrio. PLANTILLA Antiperforación textil. SUELA DE PU/PU DOBLE DENSIDAD</v>
      </c>
      <c r="F395" t="str">
        <f>PROPER(E395)</f>
        <v>Bota S3S+Ci+Hi+Fo+Sc+Sr+Esd Negro 36. Fabricado En Textil S3. Puntera De Fibra De Vidrio. Plantilla Antiperforación Textil. Suela De Pu/Pu Doble Densidad</v>
      </c>
      <c r="G395" s="24">
        <f>VLOOKUP(B395,Tabla1[],2,0)</f>
        <v>26</v>
      </c>
      <c r="H395" s="24">
        <f>+G395/0.72</f>
        <v>36.111111111111114</v>
      </c>
      <c r="I395" s="24">
        <f>+H395*1.21</f>
        <v>43.69444444444445</v>
      </c>
      <c r="J395" s="24" t="s">
        <v>2326</v>
      </c>
      <c r="K395" s="24" t="s">
        <v>2365</v>
      </c>
      <c r="L395" t="s">
        <v>1392</v>
      </c>
      <c r="M395" t="s">
        <v>1414</v>
      </c>
      <c r="N395" t="s">
        <v>1425</v>
      </c>
      <c r="O395" t="s">
        <v>1428</v>
      </c>
      <c r="P395" t="s">
        <v>1429</v>
      </c>
      <c r="Q395">
        <v>36</v>
      </c>
      <c r="R395" s="2">
        <v>8457780336270</v>
      </c>
      <c r="S395" s="3" t="s">
        <v>1011</v>
      </c>
      <c r="T395" t="s">
        <v>1369</v>
      </c>
    </row>
    <row r="396" spans="1:21" x14ac:dyDescent="0.25">
      <c r="A396" t="s">
        <v>354</v>
      </c>
      <c r="B396" t="s">
        <v>2244</v>
      </c>
      <c r="C396" t="s">
        <v>357</v>
      </c>
      <c r="D396" t="s">
        <v>1746</v>
      </c>
      <c r="E396" t="str">
        <f>+CONCATENATE(D396,". FABRICADO EN ",M396,". PUNTERA DE ",N396,". PLANTILLA ",O396,". SUELA DE ",P396)</f>
        <v>BOTA S3S+CI+HI+FO+SC+SR+ESD Negro 37. FABRICADO EN TEXTIL S3. PUNTERA DE Fibra de vidrio. PLANTILLA Antiperforación textil. SUELA DE PU/PU DOBLE DENSIDAD</v>
      </c>
      <c r="F396" t="str">
        <f>PROPER(E396)</f>
        <v>Bota S3S+Ci+Hi+Fo+Sc+Sr+Esd Negro 37. Fabricado En Textil S3. Puntera De Fibra De Vidrio. Plantilla Antiperforación Textil. Suela De Pu/Pu Doble Densidad</v>
      </c>
      <c r="G396" s="24">
        <f>VLOOKUP(B396,Tabla1[],2,0)</f>
        <v>26</v>
      </c>
      <c r="H396" s="24">
        <f>+G396/0.72</f>
        <v>36.111111111111114</v>
      </c>
      <c r="I396" s="24">
        <f>+H396*1.21</f>
        <v>43.69444444444445</v>
      </c>
      <c r="J396" s="24" t="s">
        <v>2326</v>
      </c>
      <c r="K396" s="24" t="s">
        <v>2365</v>
      </c>
      <c r="L396" t="s">
        <v>1392</v>
      </c>
      <c r="M396" t="s">
        <v>1414</v>
      </c>
      <c r="N396" t="s">
        <v>1425</v>
      </c>
      <c r="O396" t="s">
        <v>1428</v>
      </c>
      <c r="P396" t="s">
        <v>1429</v>
      </c>
      <c r="Q396">
        <v>37</v>
      </c>
      <c r="R396" s="2">
        <v>8457780336287</v>
      </c>
      <c r="S396" s="3" t="s">
        <v>1012</v>
      </c>
      <c r="T396" t="s">
        <v>1369</v>
      </c>
    </row>
    <row r="397" spans="1:21" x14ac:dyDescent="0.25">
      <c r="A397" t="s">
        <v>354</v>
      </c>
      <c r="B397" t="s">
        <v>2244</v>
      </c>
      <c r="C397" t="s">
        <v>358</v>
      </c>
      <c r="D397" t="s">
        <v>1747</v>
      </c>
      <c r="E397" t="str">
        <f>+CONCATENATE(D397,". FABRICADO EN ",M397,". PUNTERA DE ",N397,". PLANTILLA ",O397,". SUELA DE ",P397)</f>
        <v>BOTA S3S+CI+HI+FO+SC+SR+ESD Negro 38. FABRICADO EN TEXTIL S3. PUNTERA DE Fibra de vidrio. PLANTILLA Antiperforación textil. SUELA DE PU/PU DOBLE DENSIDAD</v>
      </c>
      <c r="F397" t="str">
        <f>PROPER(E397)</f>
        <v>Bota S3S+Ci+Hi+Fo+Sc+Sr+Esd Negro 38. Fabricado En Textil S3. Puntera De Fibra De Vidrio. Plantilla Antiperforación Textil. Suela De Pu/Pu Doble Densidad</v>
      </c>
      <c r="G397" s="24">
        <f>VLOOKUP(B397,Tabla1[],2,0)</f>
        <v>26</v>
      </c>
      <c r="H397" s="24">
        <f>+G397/0.72</f>
        <v>36.111111111111114</v>
      </c>
      <c r="I397" s="24">
        <f>+H397*1.21</f>
        <v>43.69444444444445</v>
      </c>
      <c r="J397" s="24" t="s">
        <v>2326</v>
      </c>
      <c r="K397" s="24" t="s">
        <v>2365</v>
      </c>
      <c r="L397" t="s">
        <v>1392</v>
      </c>
      <c r="M397" t="s">
        <v>1414</v>
      </c>
      <c r="N397" t="s">
        <v>1425</v>
      </c>
      <c r="O397" t="s">
        <v>1428</v>
      </c>
      <c r="P397" t="s">
        <v>1429</v>
      </c>
      <c r="Q397">
        <v>38</v>
      </c>
      <c r="R397" s="2">
        <v>8457780336294</v>
      </c>
      <c r="S397" s="3" t="s">
        <v>1013</v>
      </c>
      <c r="T397" t="s">
        <v>1369</v>
      </c>
    </row>
    <row r="398" spans="1:21" x14ac:dyDescent="0.25">
      <c r="A398" t="s">
        <v>354</v>
      </c>
      <c r="B398" t="s">
        <v>2244</v>
      </c>
      <c r="C398" t="s">
        <v>359</v>
      </c>
      <c r="D398" t="s">
        <v>1748</v>
      </c>
      <c r="E398" t="str">
        <f>+CONCATENATE(D398,". FABRICADO EN ",M398,". PUNTERA DE ",N398,". PLANTILLA ",O398,". SUELA DE ",P398)</f>
        <v>BOTA S3S+CI+HI+FO+SC+SR+ESD Negro 39. FABRICADO EN TEXTIL S3. PUNTERA DE Fibra de vidrio. PLANTILLA Antiperforación textil. SUELA DE PU/PU DOBLE DENSIDAD</v>
      </c>
      <c r="F398" t="str">
        <f>PROPER(E398)</f>
        <v>Bota S3S+Ci+Hi+Fo+Sc+Sr+Esd Negro 39. Fabricado En Textil S3. Puntera De Fibra De Vidrio. Plantilla Antiperforación Textil. Suela De Pu/Pu Doble Densidad</v>
      </c>
      <c r="G398" s="24">
        <f>VLOOKUP(B398,Tabla1[],2,0)</f>
        <v>26</v>
      </c>
      <c r="H398" s="24">
        <f>+G398/0.72</f>
        <v>36.111111111111114</v>
      </c>
      <c r="I398" s="24">
        <f>+H398*1.21</f>
        <v>43.69444444444445</v>
      </c>
      <c r="J398" s="24" t="s">
        <v>2326</v>
      </c>
      <c r="K398" s="24" t="s">
        <v>2365</v>
      </c>
      <c r="L398" t="s">
        <v>1392</v>
      </c>
      <c r="M398" t="s">
        <v>1414</v>
      </c>
      <c r="N398" t="s">
        <v>1425</v>
      </c>
      <c r="O398" t="s">
        <v>1428</v>
      </c>
      <c r="P398" t="s">
        <v>1429</v>
      </c>
      <c r="Q398">
        <v>39</v>
      </c>
      <c r="R398" s="2">
        <v>8457780336300</v>
      </c>
      <c r="S398" s="3" t="s">
        <v>1014</v>
      </c>
      <c r="T398" t="s">
        <v>1369</v>
      </c>
    </row>
    <row r="399" spans="1:21" x14ac:dyDescent="0.25">
      <c r="A399" t="s">
        <v>354</v>
      </c>
      <c r="B399" t="s">
        <v>2244</v>
      </c>
      <c r="C399" t="s">
        <v>360</v>
      </c>
      <c r="D399" t="s">
        <v>1749</v>
      </c>
      <c r="E399" t="str">
        <f>+CONCATENATE(D399,". FABRICADO EN ",M399,". PUNTERA DE ",N399,". PLANTILLA ",O399,". SUELA DE ",P399)</f>
        <v>BOTA S3S+CI+HI+FO+SC+SR+ESD Negro 40. FABRICADO EN TEXTIL S3. PUNTERA DE Fibra de vidrio. PLANTILLA Antiperforación textil. SUELA DE PU/PU DOBLE DENSIDAD</v>
      </c>
      <c r="F399" t="str">
        <f>PROPER(E399)</f>
        <v>Bota S3S+Ci+Hi+Fo+Sc+Sr+Esd Negro 40. Fabricado En Textil S3. Puntera De Fibra De Vidrio. Plantilla Antiperforación Textil. Suela De Pu/Pu Doble Densidad</v>
      </c>
      <c r="G399" s="24">
        <f>VLOOKUP(B399,Tabla1[],2,0)</f>
        <v>26</v>
      </c>
      <c r="H399" s="24">
        <f>+G399/0.72</f>
        <v>36.111111111111114</v>
      </c>
      <c r="I399" s="24">
        <f>+H399*1.21</f>
        <v>43.69444444444445</v>
      </c>
      <c r="J399" s="24" t="s">
        <v>2326</v>
      </c>
      <c r="K399" s="24" t="s">
        <v>2365</v>
      </c>
      <c r="L399" t="s">
        <v>1392</v>
      </c>
      <c r="M399" t="s">
        <v>1414</v>
      </c>
      <c r="N399" t="s">
        <v>1425</v>
      </c>
      <c r="O399" t="s">
        <v>1428</v>
      </c>
      <c r="P399" t="s">
        <v>1429</v>
      </c>
      <c r="Q399">
        <v>40</v>
      </c>
      <c r="R399" s="2">
        <v>8457780336317</v>
      </c>
      <c r="S399" s="3" t="s">
        <v>1015</v>
      </c>
      <c r="T399" t="s">
        <v>1369</v>
      </c>
    </row>
    <row r="400" spans="1:21" x14ac:dyDescent="0.25">
      <c r="A400" t="s">
        <v>354</v>
      </c>
      <c r="B400" t="s">
        <v>2244</v>
      </c>
      <c r="C400" t="s">
        <v>361</v>
      </c>
      <c r="D400" t="s">
        <v>1750</v>
      </c>
      <c r="E400" t="str">
        <f>+CONCATENATE(D400,". FABRICADO EN ",M400,". PUNTERA DE ",N400,". PLANTILLA ",O400,". SUELA DE ",P400)</f>
        <v>BOTA S3S+CI+HI+FO+SC+SR+ESD Negro 41. FABRICADO EN TEXTIL S3. PUNTERA DE Fibra de vidrio. PLANTILLA Antiperforación textil. SUELA DE PU/PU DOBLE DENSIDAD</v>
      </c>
      <c r="F400" t="str">
        <f>PROPER(E400)</f>
        <v>Bota S3S+Ci+Hi+Fo+Sc+Sr+Esd Negro 41. Fabricado En Textil S3. Puntera De Fibra De Vidrio. Plantilla Antiperforación Textil. Suela De Pu/Pu Doble Densidad</v>
      </c>
      <c r="G400" s="24">
        <f>VLOOKUP(B400,Tabla1[],2,0)</f>
        <v>26</v>
      </c>
      <c r="H400" s="24">
        <f>+G400/0.72</f>
        <v>36.111111111111114</v>
      </c>
      <c r="I400" s="24">
        <f>+H400*1.21</f>
        <v>43.69444444444445</v>
      </c>
      <c r="J400" s="24" t="s">
        <v>2326</v>
      </c>
      <c r="K400" s="24" t="s">
        <v>2365</v>
      </c>
      <c r="L400" t="s">
        <v>1392</v>
      </c>
      <c r="M400" t="s">
        <v>1414</v>
      </c>
      <c r="N400" t="s">
        <v>1425</v>
      </c>
      <c r="O400" t="s">
        <v>1428</v>
      </c>
      <c r="P400" t="s">
        <v>1429</v>
      </c>
      <c r="Q400">
        <v>41</v>
      </c>
      <c r="R400" s="2">
        <v>8457780336324</v>
      </c>
      <c r="S400" s="3" t="s">
        <v>1016</v>
      </c>
      <c r="T400" t="s">
        <v>1369</v>
      </c>
    </row>
    <row r="401" spans="1:21" x14ac:dyDescent="0.25">
      <c r="A401" t="s">
        <v>354</v>
      </c>
      <c r="B401" t="s">
        <v>2244</v>
      </c>
      <c r="C401" t="s">
        <v>362</v>
      </c>
      <c r="D401" t="s">
        <v>1751</v>
      </c>
      <c r="E401" t="str">
        <f>+CONCATENATE(D401,". FABRICADO EN ",M401,". PUNTERA DE ",N401,". PLANTILLA ",O401,". SUELA DE ",P401)</f>
        <v>BOTA S3S+CI+HI+FO+SC+SR+ESD Negro 42. FABRICADO EN TEXTIL S3. PUNTERA DE Fibra de vidrio. PLANTILLA Antiperforación textil. SUELA DE PU/PU DOBLE DENSIDAD</v>
      </c>
      <c r="F401" t="str">
        <f>PROPER(E401)</f>
        <v>Bota S3S+Ci+Hi+Fo+Sc+Sr+Esd Negro 42. Fabricado En Textil S3. Puntera De Fibra De Vidrio. Plantilla Antiperforación Textil. Suela De Pu/Pu Doble Densidad</v>
      </c>
      <c r="G401" s="24">
        <f>VLOOKUP(B401,Tabla1[],2,0)</f>
        <v>26</v>
      </c>
      <c r="H401" s="24">
        <f>+G401/0.72</f>
        <v>36.111111111111114</v>
      </c>
      <c r="I401" s="24">
        <f>+H401*1.21</f>
        <v>43.69444444444445</v>
      </c>
      <c r="J401" s="24" t="s">
        <v>2326</v>
      </c>
      <c r="K401" s="24" t="s">
        <v>2365</v>
      </c>
      <c r="L401" t="s">
        <v>1392</v>
      </c>
      <c r="M401" t="s">
        <v>1414</v>
      </c>
      <c r="N401" t="s">
        <v>1425</v>
      </c>
      <c r="O401" t="s">
        <v>1428</v>
      </c>
      <c r="P401" t="s">
        <v>1429</v>
      </c>
      <c r="Q401">
        <v>42</v>
      </c>
      <c r="R401" s="2">
        <v>8457780336331</v>
      </c>
      <c r="S401" s="3" t="s">
        <v>1017</v>
      </c>
      <c r="T401" t="s">
        <v>1369</v>
      </c>
    </row>
    <row r="402" spans="1:21" x14ac:dyDescent="0.25">
      <c r="A402" t="s">
        <v>354</v>
      </c>
      <c r="B402" t="s">
        <v>2244</v>
      </c>
      <c r="C402" t="s">
        <v>363</v>
      </c>
      <c r="D402" t="s">
        <v>1752</v>
      </c>
      <c r="E402" t="str">
        <f>+CONCATENATE(D402,". FABRICADO EN ",M402,". PUNTERA DE ",N402,". PLANTILLA ",O402,". SUELA DE ",P402)</f>
        <v>BOTA S3S+CI+HI+FO+SC+SR+ESD Negro 43. FABRICADO EN TEXTIL S3. PUNTERA DE Fibra de vidrio. PLANTILLA Antiperforación textil. SUELA DE PU/PU DOBLE DENSIDAD</v>
      </c>
      <c r="F402" t="str">
        <f>PROPER(E402)</f>
        <v>Bota S3S+Ci+Hi+Fo+Sc+Sr+Esd Negro 43. Fabricado En Textil S3. Puntera De Fibra De Vidrio. Plantilla Antiperforación Textil. Suela De Pu/Pu Doble Densidad</v>
      </c>
      <c r="G402" s="24">
        <f>VLOOKUP(B402,Tabla1[],2,0)</f>
        <v>26</v>
      </c>
      <c r="H402" s="24">
        <f>+G402/0.72</f>
        <v>36.111111111111114</v>
      </c>
      <c r="I402" s="24">
        <f>+H402*1.21</f>
        <v>43.69444444444445</v>
      </c>
      <c r="J402" s="24" t="s">
        <v>2326</v>
      </c>
      <c r="K402" s="24" t="s">
        <v>2365</v>
      </c>
      <c r="L402" t="s">
        <v>1392</v>
      </c>
      <c r="M402" t="s">
        <v>1414</v>
      </c>
      <c r="N402" t="s">
        <v>1425</v>
      </c>
      <c r="O402" t="s">
        <v>1428</v>
      </c>
      <c r="P402" t="s">
        <v>1429</v>
      </c>
      <c r="Q402">
        <v>43</v>
      </c>
      <c r="R402" s="2">
        <v>8457780336348</v>
      </c>
      <c r="S402" s="3" t="s">
        <v>1018</v>
      </c>
      <c r="T402" t="s">
        <v>1369</v>
      </c>
    </row>
    <row r="403" spans="1:21" x14ac:dyDescent="0.25">
      <c r="A403" t="s">
        <v>354</v>
      </c>
      <c r="B403" t="s">
        <v>2244</v>
      </c>
      <c r="C403" t="s">
        <v>364</v>
      </c>
      <c r="D403" t="s">
        <v>1753</v>
      </c>
      <c r="E403" t="str">
        <f>+CONCATENATE(D403,". FABRICADO EN ",M403,". PUNTERA DE ",N403,". PLANTILLA ",O403,". SUELA DE ",P403)</f>
        <v>BOTA S3S+CI+HI+FO+SC+SR+ESD Negro 44. FABRICADO EN TEXTIL S3. PUNTERA DE Fibra de vidrio. PLANTILLA Antiperforación textil. SUELA DE PU/PU DOBLE DENSIDAD</v>
      </c>
      <c r="F403" t="str">
        <f>PROPER(E403)</f>
        <v>Bota S3S+Ci+Hi+Fo+Sc+Sr+Esd Negro 44. Fabricado En Textil S3. Puntera De Fibra De Vidrio. Plantilla Antiperforación Textil. Suela De Pu/Pu Doble Densidad</v>
      </c>
      <c r="G403" s="24">
        <f>VLOOKUP(B403,Tabla1[],2,0)</f>
        <v>26</v>
      </c>
      <c r="H403" s="24">
        <f>+G403/0.72</f>
        <v>36.111111111111114</v>
      </c>
      <c r="I403" s="24">
        <f>+H403*1.21</f>
        <v>43.69444444444445</v>
      </c>
      <c r="J403" s="24" t="s">
        <v>2326</v>
      </c>
      <c r="K403" s="24" t="s">
        <v>2365</v>
      </c>
      <c r="L403" t="s">
        <v>1392</v>
      </c>
      <c r="M403" t="s">
        <v>1414</v>
      </c>
      <c r="N403" t="s">
        <v>1425</v>
      </c>
      <c r="O403" t="s">
        <v>1428</v>
      </c>
      <c r="P403" t="s">
        <v>1429</v>
      </c>
      <c r="Q403">
        <v>44</v>
      </c>
      <c r="R403" s="2">
        <v>8457780336355</v>
      </c>
      <c r="S403" s="3" t="s">
        <v>1019</v>
      </c>
      <c r="T403" t="s">
        <v>1369</v>
      </c>
    </row>
    <row r="404" spans="1:21" x14ac:dyDescent="0.25">
      <c r="A404" t="s">
        <v>354</v>
      </c>
      <c r="B404" t="s">
        <v>2244</v>
      </c>
      <c r="C404" t="s">
        <v>365</v>
      </c>
      <c r="D404" t="s">
        <v>1754</v>
      </c>
      <c r="E404" t="str">
        <f>+CONCATENATE(D404,". FABRICADO EN ",M404,". PUNTERA DE ",N404,". PLANTILLA ",O404,". SUELA DE ",P404)</f>
        <v>BOTA S3S+CI+HI+FO+SC+SR+ESD Negro 45. FABRICADO EN TEXTIL S3. PUNTERA DE Fibra de vidrio. PLANTILLA Antiperforación textil. SUELA DE PU/PU DOBLE DENSIDAD</v>
      </c>
      <c r="F404" t="str">
        <f>PROPER(E404)</f>
        <v>Bota S3S+Ci+Hi+Fo+Sc+Sr+Esd Negro 45. Fabricado En Textil S3. Puntera De Fibra De Vidrio. Plantilla Antiperforación Textil. Suela De Pu/Pu Doble Densidad</v>
      </c>
      <c r="G404" s="24">
        <f>VLOOKUP(B404,Tabla1[],2,0)</f>
        <v>26</v>
      </c>
      <c r="H404" s="24">
        <f>+G404/0.72</f>
        <v>36.111111111111114</v>
      </c>
      <c r="I404" s="24">
        <f>+H404*1.21</f>
        <v>43.69444444444445</v>
      </c>
      <c r="J404" s="24" t="s">
        <v>2326</v>
      </c>
      <c r="K404" s="24" t="s">
        <v>2365</v>
      </c>
      <c r="L404" t="s">
        <v>1392</v>
      </c>
      <c r="M404" t="s">
        <v>1414</v>
      </c>
      <c r="N404" t="s">
        <v>1425</v>
      </c>
      <c r="O404" t="s">
        <v>1428</v>
      </c>
      <c r="P404" t="s">
        <v>1429</v>
      </c>
      <c r="Q404">
        <v>45</v>
      </c>
      <c r="R404" s="2">
        <v>8457780336362</v>
      </c>
      <c r="S404" s="3" t="s">
        <v>1020</v>
      </c>
      <c r="T404" t="s">
        <v>1369</v>
      </c>
    </row>
    <row r="405" spans="1:21" x14ac:dyDescent="0.25">
      <c r="A405" t="s">
        <v>354</v>
      </c>
      <c r="B405" t="s">
        <v>2244</v>
      </c>
      <c r="C405" t="s">
        <v>366</v>
      </c>
      <c r="D405" t="s">
        <v>1755</v>
      </c>
      <c r="E405" t="str">
        <f>+CONCATENATE(D405,". FABRICADO EN ",M405,". PUNTERA DE ",N405,". PLANTILLA ",O405,". SUELA DE ",P405)</f>
        <v>BOTA S3S+CI+HI+FO+SC+SR+ESD Negro 46. FABRICADO EN TEXTIL S3. PUNTERA DE Fibra de vidrio. PLANTILLA Antiperforación textil. SUELA DE PU/PU DOBLE DENSIDAD</v>
      </c>
      <c r="F405" t="str">
        <f>PROPER(E405)</f>
        <v>Bota S3S+Ci+Hi+Fo+Sc+Sr+Esd Negro 46. Fabricado En Textil S3. Puntera De Fibra De Vidrio. Plantilla Antiperforación Textil. Suela De Pu/Pu Doble Densidad</v>
      </c>
      <c r="G405" s="24">
        <f>VLOOKUP(B405,Tabla1[],2,0)</f>
        <v>26</v>
      </c>
      <c r="H405" s="24">
        <f>+G405/0.72</f>
        <v>36.111111111111114</v>
      </c>
      <c r="I405" s="24">
        <f>+H405*1.21</f>
        <v>43.69444444444445</v>
      </c>
      <c r="J405" s="24" t="s">
        <v>2326</v>
      </c>
      <c r="K405" s="24" t="s">
        <v>2365</v>
      </c>
      <c r="L405" t="s">
        <v>1392</v>
      </c>
      <c r="M405" t="s">
        <v>1414</v>
      </c>
      <c r="N405" t="s">
        <v>1425</v>
      </c>
      <c r="O405" t="s">
        <v>1428</v>
      </c>
      <c r="P405" t="s">
        <v>1429</v>
      </c>
      <c r="Q405">
        <v>46</v>
      </c>
      <c r="R405" s="2">
        <v>8457780336379</v>
      </c>
      <c r="S405" s="3" t="s">
        <v>1021</v>
      </c>
      <c r="T405" t="s">
        <v>1369</v>
      </c>
    </row>
    <row r="406" spans="1:21" x14ac:dyDescent="0.25">
      <c r="A406" t="s">
        <v>354</v>
      </c>
      <c r="B406" t="s">
        <v>2244</v>
      </c>
      <c r="C406" t="s">
        <v>367</v>
      </c>
      <c r="D406" t="s">
        <v>1756</v>
      </c>
      <c r="E406" t="str">
        <f>+CONCATENATE(D406,". FABRICADO EN ",M406,". PUNTERA DE ",N406,". PLANTILLA ",O406,". SUELA DE ",P406)</f>
        <v>BOTA S3S+CI+HI+FO+SC+SR+ESD Negro 47. FABRICADO EN TEXTIL S3. PUNTERA DE Fibra de vidrio. PLANTILLA Antiperforación textil. SUELA DE PU/PU DOBLE DENSIDAD</v>
      </c>
      <c r="F406" t="str">
        <f>PROPER(E406)</f>
        <v>Bota S3S+Ci+Hi+Fo+Sc+Sr+Esd Negro 47. Fabricado En Textil S3. Puntera De Fibra De Vidrio. Plantilla Antiperforación Textil. Suela De Pu/Pu Doble Densidad</v>
      </c>
      <c r="G406" s="24">
        <f>VLOOKUP(B406,Tabla1[],2,0)</f>
        <v>26</v>
      </c>
      <c r="H406" s="24">
        <f>+G406/0.72</f>
        <v>36.111111111111114</v>
      </c>
      <c r="I406" s="24">
        <f>+H406*1.21</f>
        <v>43.69444444444445</v>
      </c>
      <c r="J406" s="24" t="s">
        <v>2326</v>
      </c>
      <c r="K406" s="24" t="s">
        <v>2365</v>
      </c>
      <c r="L406" t="s">
        <v>1392</v>
      </c>
      <c r="M406" t="s">
        <v>1414</v>
      </c>
      <c r="N406" t="s">
        <v>1425</v>
      </c>
      <c r="O406" t="s">
        <v>1428</v>
      </c>
      <c r="P406" t="s">
        <v>1429</v>
      </c>
      <c r="Q406">
        <v>47</v>
      </c>
      <c r="R406" s="2">
        <v>8457780336386</v>
      </c>
      <c r="S406" s="3" t="s">
        <v>1022</v>
      </c>
      <c r="T406" t="s">
        <v>1369</v>
      </c>
    </row>
    <row r="407" spans="1:21" x14ac:dyDescent="0.25">
      <c r="A407" t="s">
        <v>354</v>
      </c>
      <c r="B407" t="s">
        <v>2244</v>
      </c>
      <c r="C407" t="s">
        <v>368</v>
      </c>
      <c r="D407" t="s">
        <v>1757</v>
      </c>
      <c r="E407" t="str">
        <f>+CONCATENATE(D407,". FABRICADO EN ",M407,". PUNTERA DE ",N407,". PLANTILLA ",O407,". SUELA DE ",P407)</f>
        <v>BOTA S3S+CI+HI+FO+SC+SR+ESD Negro 48. FABRICADO EN TEXTIL S3. PUNTERA DE Fibra de vidrio. PLANTILLA Antiperforación textil. SUELA DE PU/PU DOBLE DENSIDAD</v>
      </c>
      <c r="F407" t="str">
        <f>PROPER(E407)</f>
        <v>Bota S3S+Ci+Hi+Fo+Sc+Sr+Esd Negro 48. Fabricado En Textil S3. Puntera De Fibra De Vidrio. Plantilla Antiperforación Textil. Suela De Pu/Pu Doble Densidad</v>
      </c>
      <c r="G407" s="24">
        <f>VLOOKUP(B407,Tabla1[],2,0)</f>
        <v>26</v>
      </c>
      <c r="H407" s="24">
        <f>+G407/0.72</f>
        <v>36.111111111111114</v>
      </c>
      <c r="I407" s="24">
        <f>+H407*1.21</f>
        <v>43.69444444444445</v>
      </c>
      <c r="J407" s="24" t="s">
        <v>2326</v>
      </c>
      <c r="K407" s="24" t="s">
        <v>2365</v>
      </c>
      <c r="L407" t="s">
        <v>1392</v>
      </c>
      <c r="M407" t="s">
        <v>1414</v>
      </c>
      <c r="N407" t="s">
        <v>1425</v>
      </c>
      <c r="O407" t="s">
        <v>1428</v>
      </c>
      <c r="P407" t="s">
        <v>1429</v>
      </c>
      <c r="Q407">
        <v>48</v>
      </c>
      <c r="R407" s="2">
        <v>8457780336393</v>
      </c>
      <c r="S407" s="3" t="s">
        <v>1023</v>
      </c>
      <c r="T407" t="s">
        <v>1369</v>
      </c>
    </row>
    <row r="408" spans="1:21" x14ac:dyDescent="0.25">
      <c r="A408" t="s">
        <v>354</v>
      </c>
      <c r="B408" t="s">
        <v>2244</v>
      </c>
      <c r="C408" t="s">
        <v>369</v>
      </c>
      <c r="D408" t="s">
        <v>1758</v>
      </c>
      <c r="E408" t="str">
        <f>+CONCATENATE(D408,". FABRICADO EN ",M408,". PUNTERA DE ",N408,". PLANTILLA ",O408,". SUELA DE ",P408)</f>
        <v>BOTA S3S+CI+HI+FO+SC+SR+ESD Negro 49. FABRICADO EN TEXTIL S3. PUNTERA DE Fibra de vidrio. PLANTILLA Antiperforación textil. SUELA DE PU/PU DOBLE DENSIDAD</v>
      </c>
      <c r="F408" t="str">
        <f>PROPER(E408)</f>
        <v>Bota S3S+Ci+Hi+Fo+Sc+Sr+Esd Negro 49. Fabricado En Textil S3. Puntera De Fibra De Vidrio. Plantilla Antiperforación Textil. Suela De Pu/Pu Doble Densidad</v>
      </c>
      <c r="G408" s="24">
        <f>VLOOKUP(B408,Tabla1[],2,0)</f>
        <v>26</v>
      </c>
      <c r="H408" s="24">
        <f>+G408/0.72</f>
        <v>36.111111111111114</v>
      </c>
      <c r="I408" s="24">
        <f>+H408*1.21</f>
        <v>43.69444444444445</v>
      </c>
      <c r="J408" s="24" t="s">
        <v>2326</v>
      </c>
      <c r="K408" s="24" t="s">
        <v>2365</v>
      </c>
      <c r="L408" t="s">
        <v>1392</v>
      </c>
      <c r="M408" t="s">
        <v>1414</v>
      </c>
      <c r="N408" t="s">
        <v>1425</v>
      </c>
      <c r="O408" t="s">
        <v>1428</v>
      </c>
      <c r="P408" t="s">
        <v>1429</v>
      </c>
      <c r="Q408">
        <v>49</v>
      </c>
      <c r="R408" s="2">
        <v>8457780336409</v>
      </c>
      <c r="S408" s="3" t="s">
        <v>1024</v>
      </c>
      <c r="T408" t="s">
        <v>1369</v>
      </c>
    </row>
    <row r="409" spans="1:21" x14ac:dyDescent="0.25">
      <c r="A409" t="s">
        <v>354</v>
      </c>
      <c r="B409" t="s">
        <v>2244</v>
      </c>
      <c r="C409" t="s">
        <v>370</v>
      </c>
      <c r="D409" t="s">
        <v>1759</v>
      </c>
      <c r="E409" t="str">
        <f>+CONCATENATE(D409,". FABRICADO EN ",M409,". PUNTERA DE ",N409,". PLANTILLA ",O409,". SUELA DE ",P409)</f>
        <v>BOTA S3S+CI+HI+FO+SC+SR+ESD Negro 50. FABRICADO EN TEXTIL S3. PUNTERA DE Fibra de vidrio. PLANTILLA Antiperforación textil. SUELA DE PU/PU DOBLE DENSIDAD</v>
      </c>
      <c r="F409" t="str">
        <f>PROPER(E409)</f>
        <v>Bota S3S+Ci+Hi+Fo+Sc+Sr+Esd Negro 50. Fabricado En Textil S3. Puntera De Fibra De Vidrio. Plantilla Antiperforación Textil. Suela De Pu/Pu Doble Densidad</v>
      </c>
      <c r="G409" s="24">
        <f>VLOOKUP(B409,Tabla1[],2,0)</f>
        <v>26</v>
      </c>
      <c r="H409" s="24">
        <f>+G409/0.72</f>
        <v>36.111111111111114</v>
      </c>
      <c r="I409" s="24">
        <f>+H409*1.21</f>
        <v>43.69444444444445</v>
      </c>
      <c r="J409" s="24" t="s">
        <v>2326</v>
      </c>
      <c r="K409" s="24" t="s">
        <v>2365</v>
      </c>
      <c r="L409" t="s">
        <v>1392</v>
      </c>
      <c r="M409" t="s">
        <v>1414</v>
      </c>
      <c r="N409" t="s">
        <v>1425</v>
      </c>
      <c r="O409" t="s">
        <v>1428</v>
      </c>
      <c r="P409" t="s">
        <v>1429</v>
      </c>
      <c r="Q409">
        <v>50</v>
      </c>
      <c r="R409" s="2">
        <v>8457780336416</v>
      </c>
      <c r="S409" s="3" t="s">
        <v>1025</v>
      </c>
      <c r="T409" t="s">
        <v>1369</v>
      </c>
    </row>
    <row r="410" spans="1:21" x14ac:dyDescent="0.25">
      <c r="A410" t="s">
        <v>371</v>
      </c>
      <c r="B410" t="s">
        <v>2245</v>
      </c>
      <c r="C410" t="s">
        <v>372</v>
      </c>
      <c r="D410" t="s">
        <v>1760</v>
      </c>
      <c r="E410" t="str">
        <f>+CONCATENATE(D410,". FABRICADO EN ",M410,". PUNTERA DE ",N410,". PLANTILLA ",O410,". SUELA DE ",P410)</f>
        <v>ZAPATO SERRAJE S1+P+CI+HI+SR METALICO Gris 35. FABRICADO EN PIEL SERRAJE. PUNTERA DE Acero. PLANTILLA Acero. SUELA DE PU/PU DOBLE DENSIDAD</v>
      </c>
      <c r="F410" t="str">
        <f>PROPER(E410)</f>
        <v>Zapato Serraje S1+P+Ci+Hi+Sr Metalico Gris 35. Fabricado En Piel Serraje. Puntera De Acero. Plantilla Acero. Suela De Pu/Pu Doble Densidad</v>
      </c>
      <c r="G410" s="24">
        <f>VLOOKUP(B410,Tabla1[],2,0)</f>
        <v>10.9</v>
      </c>
      <c r="H410" s="24">
        <f>+G410/0.7</f>
        <v>15.571428571428573</v>
      </c>
      <c r="I410" s="24">
        <f>+H410*1.21</f>
        <v>18.841428571428573</v>
      </c>
      <c r="J410" s="24" t="s">
        <v>2359</v>
      </c>
      <c r="K410" s="24" t="s">
        <v>2371</v>
      </c>
      <c r="L410" t="s">
        <v>1399</v>
      </c>
      <c r="M410" t="s">
        <v>1417</v>
      </c>
      <c r="N410" t="s">
        <v>1426</v>
      </c>
      <c r="O410" t="s">
        <v>1426</v>
      </c>
      <c r="P410" t="s">
        <v>1429</v>
      </c>
      <c r="Q410">
        <v>35</v>
      </c>
      <c r="R410" s="2">
        <v>8457780305566</v>
      </c>
      <c r="S410" s="3" t="s">
        <v>1026</v>
      </c>
      <c r="T410" t="s">
        <v>1354</v>
      </c>
      <c r="U410" t="s">
        <v>1355</v>
      </c>
    </row>
    <row r="411" spans="1:21" x14ac:dyDescent="0.25">
      <c r="A411" t="s">
        <v>371</v>
      </c>
      <c r="B411" t="s">
        <v>2245</v>
      </c>
      <c r="C411" t="s">
        <v>373</v>
      </c>
      <c r="D411" t="s">
        <v>1761</v>
      </c>
      <c r="E411" t="str">
        <f>+CONCATENATE(D411,". FABRICADO EN ",M411,". PUNTERA DE ",N411,". PLANTILLA ",O411,". SUELA DE ",P411)</f>
        <v>ZAPATO SERRAJE S1+P+CI+HI+SR METALICO Gris 36. FABRICADO EN PIEL SERRAJE. PUNTERA DE Acero. PLANTILLA Acero. SUELA DE PU/PU DOBLE DENSIDAD</v>
      </c>
      <c r="F411" t="str">
        <f>PROPER(E411)</f>
        <v>Zapato Serraje S1+P+Ci+Hi+Sr Metalico Gris 36. Fabricado En Piel Serraje. Puntera De Acero. Plantilla Acero. Suela De Pu/Pu Doble Densidad</v>
      </c>
      <c r="G411" s="24">
        <f>VLOOKUP(B411,Tabla1[],2,0)</f>
        <v>10.9</v>
      </c>
      <c r="H411" s="24">
        <f>+G411/0.7</f>
        <v>15.571428571428573</v>
      </c>
      <c r="I411" s="24">
        <f>+H411*1.21</f>
        <v>18.841428571428573</v>
      </c>
      <c r="J411" s="24" t="s">
        <v>2359</v>
      </c>
      <c r="K411" s="24" t="s">
        <v>2371</v>
      </c>
      <c r="L411" t="s">
        <v>1399</v>
      </c>
      <c r="M411" t="s">
        <v>1417</v>
      </c>
      <c r="N411" t="s">
        <v>1426</v>
      </c>
      <c r="O411" t="s">
        <v>1426</v>
      </c>
      <c r="P411" t="s">
        <v>1429</v>
      </c>
      <c r="Q411">
        <v>36</v>
      </c>
      <c r="R411" s="2">
        <v>8457780305573</v>
      </c>
      <c r="S411" s="3" t="s">
        <v>1027</v>
      </c>
      <c r="T411" t="s">
        <v>1354</v>
      </c>
      <c r="U411" t="s">
        <v>1355</v>
      </c>
    </row>
    <row r="412" spans="1:21" x14ac:dyDescent="0.25">
      <c r="A412" t="s">
        <v>371</v>
      </c>
      <c r="B412" t="s">
        <v>2245</v>
      </c>
      <c r="C412" t="s">
        <v>374</v>
      </c>
      <c r="D412" t="s">
        <v>1762</v>
      </c>
      <c r="E412" t="str">
        <f>+CONCATENATE(D412,". FABRICADO EN ",M412,". PUNTERA DE ",N412,". PLANTILLA ",O412,". SUELA DE ",P412)</f>
        <v>ZAPATO SERRAJE S1+P+CI+HI+SR METALICO Gris 37. FABRICADO EN PIEL SERRAJE. PUNTERA DE Acero. PLANTILLA Acero. SUELA DE PU/PU DOBLE DENSIDAD</v>
      </c>
      <c r="F412" t="str">
        <f>PROPER(E412)</f>
        <v>Zapato Serraje S1+P+Ci+Hi+Sr Metalico Gris 37. Fabricado En Piel Serraje. Puntera De Acero. Plantilla Acero. Suela De Pu/Pu Doble Densidad</v>
      </c>
      <c r="G412" s="24">
        <f>VLOOKUP(B412,Tabla1[],2,0)</f>
        <v>10.9</v>
      </c>
      <c r="H412" s="24">
        <f>+G412/0.7</f>
        <v>15.571428571428573</v>
      </c>
      <c r="I412" s="24">
        <f>+H412*1.21</f>
        <v>18.841428571428573</v>
      </c>
      <c r="J412" s="24" t="s">
        <v>2359</v>
      </c>
      <c r="K412" s="24" t="s">
        <v>2371</v>
      </c>
      <c r="L412" t="s">
        <v>1399</v>
      </c>
      <c r="M412" t="s">
        <v>1417</v>
      </c>
      <c r="N412" t="s">
        <v>1426</v>
      </c>
      <c r="O412" t="s">
        <v>1426</v>
      </c>
      <c r="P412" t="s">
        <v>1429</v>
      </c>
      <c r="Q412">
        <v>37</v>
      </c>
      <c r="R412" s="2">
        <v>8457780305580</v>
      </c>
      <c r="S412" s="3" t="s">
        <v>1028</v>
      </c>
      <c r="T412" t="s">
        <v>1354</v>
      </c>
      <c r="U412" t="s">
        <v>1355</v>
      </c>
    </row>
    <row r="413" spans="1:21" x14ac:dyDescent="0.25">
      <c r="A413" t="s">
        <v>371</v>
      </c>
      <c r="B413" t="s">
        <v>2245</v>
      </c>
      <c r="C413" t="s">
        <v>375</v>
      </c>
      <c r="D413" t="s">
        <v>1763</v>
      </c>
      <c r="E413" t="str">
        <f>+CONCATENATE(D413,". FABRICADO EN ",M413,". PUNTERA DE ",N413,". PLANTILLA ",O413,". SUELA DE ",P413)</f>
        <v>ZAPATO SERRAJE S1+P+CI+HI+SR METALICO Gris 38. FABRICADO EN PIEL SERRAJE. PUNTERA DE Acero. PLANTILLA Acero. SUELA DE PU/PU DOBLE DENSIDAD</v>
      </c>
      <c r="F413" t="str">
        <f>PROPER(E413)</f>
        <v>Zapato Serraje S1+P+Ci+Hi+Sr Metalico Gris 38. Fabricado En Piel Serraje. Puntera De Acero. Plantilla Acero. Suela De Pu/Pu Doble Densidad</v>
      </c>
      <c r="G413" s="24">
        <f>VLOOKUP(B413,Tabla1[],2,0)</f>
        <v>10.9</v>
      </c>
      <c r="H413" s="24">
        <f>+G413/0.7</f>
        <v>15.571428571428573</v>
      </c>
      <c r="I413" s="24">
        <f>+H413*1.21</f>
        <v>18.841428571428573</v>
      </c>
      <c r="J413" s="24" t="s">
        <v>2359</v>
      </c>
      <c r="K413" s="24" t="s">
        <v>2371</v>
      </c>
      <c r="L413" t="s">
        <v>1399</v>
      </c>
      <c r="M413" t="s">
        <v>1417</v>
      </c>
      <c r="N413" t="s">
        <v>1426</v>
      </c>
      <c r="O413" t="s">
        <v>1426</v>
      </c>
      <c r="P413" t="s">
        <v>1429</v>
      </c>
      <c r="Q413">
        <v>38</v>
      </c>
      <c r="R413" s="2">
        <v>8457780305597</v>
      </c>
      <c r="S413" s="3" t="s">
        <v>1029</v>
      </c>
      <c r="T413" t="s">
        <v>1354</v>
      </c>
      <c r="U413" t="s">
        <v>1355</v>
      </c>
    </row>
    <row r="414" spans="1:21" x14ac:dyDescent="0.25">
      <c r="A414" t="s">
        <v>371</v>
      </c>
      <c r="B414" t="s">
        <v>2245</v>
      </c>
      <c r="C414" t="s">
        <v>376</v>
      </c>
      <c r="D414" t="s">
        <v>1764</v>
      </c>
      <c r="E414" t="str">
        <f>+CONCATENATE(D414,". FABRICADO EN ",M414,". PUNTERA DE ",N414,". PLANTILLA ",O414,". SUELA DE ",P414)</f>
        <v>ZAPATO SERRAJE S1+P+CI+HI+SR METALICO Gris 39. FABRICADO EN PIEL SERRAJE. PUNTERA DE Acero. PLANTILLA Acero. SUELA DE PU/PU DOBLE DENSIDAD</v>
      </c>
      <c r="F414" t="str">
        <f>PROPER(E414)</f>
        <v>Zapato Serraje S1+P+Ci+Hi+Sr Metalico Gris 39. Fabricado En Piel Serraje. Puntera De Acero. Plantilla Acero. Suela De Pu/Pu Doble Densidad</v>
      </c>
      <c r="G414" s="24">
        <f>VLOOKUP(B414,Tabla1[],2,0)</f>
        <v>10.9</v>
      </c>
      <c r="H414" s="24">
        <f>+G414/0.7</f>
        <v>15.571428571428573</v>
      </c>
      <c r="I414" s="24">
        <f>+H414*1.21</f>
        <v>18.841428571428573</v>
      </c>
      <c r="J414" s="24" t="s">
        <v>2359</v>
      </c>
      <c r="K414" s="24" t="s">
        <v>2371</v>
      </c>
      <c r="L414" t="s">
        <v>1399</v>
      </c>
      <c r="M414" t="s">
        <v>1417</v>
      </c>
      <c r="N414" t="s">
        <v>1426</v>
      </c>
      <c r="O414" t="s">
        <v>1426</v>
      </c>
      <c r="P414" t="s">
        <v>1429</v>
      </c>
      <c r="Q414">
        <v>39</v>
      </c>
      <c r="R414" s="2">
        <v>8457780305603</v>
      </c>
      <c r="S414" s="3" t="s">
        <v>1030</v>
      </c>
      <c r="T414" t="s">
        <v>1354</v>
      </c>
      <c r="U414" t="s">
        <v>1355</v>
      </c>
    </row>
    <row r="415" spans="1:21" x14ac:dyDescent="0.25">
      <c r="A415" t="s">
        <v>371</v>
      </c>
      <c r="B415" t="s">
        <v>2245</v>
      </c>
      <c r="C415" t="s">
        <v>377</v>
      </c>
      <c r="D415" t="s">
        <v>1765</v>
      </c>
      <c r="E415" t="str">
        <f>+CONCATENATE(D415,". FABRICADO EN ",M415,". PUNTERA DE ",N415,". PLANTILLA ",O415,". SUELA DE ",P415)</f>
        <v>ZAPATO SERRAJE S1+P+CI+HI+SR METALICO Gris 40. FABRICADO EN PIEL SERRAJE. PUNTERA DE Acero. PLANTILLA Acero. SUELA DE PU/PU DOBLE DENSIDAD</v>
      </c>
      <c r="F415" t="str">
        <f>PROPER(E415)</f>
        <v>Zapato Serraje S1+P+Ci+Hi+Sr Metalico Gris 40. Fabricado En Piel Serraje. Puntera De Acero. Plantilla Acero. Suela De Pu/Pu Doble Densidad</v>
      </c>
      <c r="G415" s="24">
        <f>VLOOKUP(B415,Tabla1[],2,0)</f>
        <v>10.9</v>
      </c>
      <c r="H415" s="24">
        <f>+G415/0.7</f>
        <v>15.571428571428573</v>
      </c>
      <c r="I415" s="24">
        <f>+H415*1.21</f>
        <v>18.841428571428573</v>
      </c>
      <c r="J415" s="24" t="s">
        <v>2359</v>
      </c>
      <c r="K415" s="24" t="s">
        <v>2371</v>
      </c>
      <c r="L415" t="s">
        <v>1399</v>
      </c>
      <c r="M415" t="s">
        <v>1417</v>
      </c>
      <c r="N415" t="s">
        <v>1426</v>
      </c>
      <c r="O415" t="s">
        <v>1426</v>
      </c>
      <c r="P415" t="s">
        <v>1429</v>
      </c>
      <c r="Q415">
        <v>40</v>
      </c>
      <c r="R415" s="2">
        <v>8457780305610</v>
      </c>
      <c r="S415" s="3" t="s">
        <v>1031</v>
      </c>
      <c r="T415" t="s">
        <v>1354</v>
      </c>
      <c r="U415" t="s">
        <v>1355</v>
      </c>
    </row>
    <row r="416" spans="1:21" x14ac:dyDescent="0.25">
      <c r="A416" t="s">
        <v>371</v>
      </c>
      <c r="B416" t="s">
        <v>2245</v>
      </c>
      <c r="C416" t="s">
        <v>378</v>
      </c>
      <c r="D416" t="s">
        <v>1766</v>
      </c>
      <c r="E416" t="str">
        <f>+CONCATENATE(D416,". FABRICADO EN ",M416,". PUNTERA DE ",N416,". PLANTILLA ",O416,". SUELA DE ",P416)</f>
        <v>ZAPATO SERRAJE S1+P+CI+HI+SR METALICO Gris 41. FABRICADO EN PIEL SERRAJE. PUNTERA DE Acero. PLANTILLA Acero. SUELA DE PU/PU DOBLE DENSIDAD</v>
      </c>
      <c r="F416" t="str">
        <f>PROPER(E416)</f>
        <v>Zapato Serraje S1+P+Ci+Hi+Sr Metalico Gris 41. Fabricado En Piel Serraje. Puntera De Acero. Plantilla Acero. Suela De Pu/Pu Doble Densidad</v>
      </c>
      <c r="G416" s="24">
        <f>VLOOKUP(B416,Tabla1[],2,0)</f>
        <v>10.9</v>
      </c>
      <c r="H416" s="24">
        <f>+G416/0.7</f>
        <v>15.571428571428573</v>
      </c>
      <c r="I416" s="24">
        <f>+H416*1.21</f>
        <v>18.841428571428573</v>
      </c>
      <c r="J416" s="24" t="s">
        <v>2359</v>
      </c>
      <c r="K416" s="24" t="s">
        <v>2371</v>
      </c>
      <c r="L416" t="s">
        <v>1399</v>
      </c>
      <c r="M416" t="s">
        <v>1417</v>
      </c>
      <c r="N416" t="s">
        <v>1426</v>
      </c>
      <c r="O416" t="s">
        <v>1426</v>
      </c>
      <c r="P416" t="s">
        <v>1429</v>
      </c>
      <c r="Q416">
        <v>41</v>
      </c>
      <c r="R416" s="2">
        <v>8457780305627</v>
      </c>
      <c r="S416" s="3" t="s">
        <v>1032</v>
      </c>
      <c r="T416" t="s">
        <v>1354</v>
      </c>
      <c r="U416" t="s">
        <v>1355</v>
      </c>
    </row>
    <row r="417" spans="1:21" x14ac:dyDescent="0.25">
      <c r="A417" t="s">
        <v>371</v>
      </c>
      <c r="B417" t="s">
        <v>2245</v>
      </c>
      <c r="C417" t="s">
        <v>379</v>
      </c>
      <c r="D417" t="s">
        <v>1767</v>
      </c>
      <c r="E417" t="str">
        <f>+CONCATENATE(D417,". FABRICADO EN ",M417,". PUNTERA DE ",N417,". PLANTILLA ",O417,". SUELA DE ",P417)</f>
        <v>ZAPATO SERRAJE S1+P+CI+HI+SR METALICO Gris 42. FABRICADO EN PIEL SERRAJE. PUNTERA DE Acero. PLANTILLA Acero. SUELA DE PU/PU DOBLE DENSIDAD</v>
      </c>
      <c r="F417" t="str">
        <f>PROPER(E417)</f>
        <v>Zapato Serraje S1+P+Ci+Hi+Sr Metalico Gris 42. Fabricado En Piel Serraje. Puntera De Acero. Plantilla Acero. Suela De Pu/Pu Doble Densidad</v>
      </c>
      <c r="G417" s="24">
        <f>VLOOKUP(B417,Tabla1[],2,0)</f>
        <v>10.9</v>
      </c>
      <c r="H417" s="24">
        <f>+G417/0.7</f>
        <v>15.571428571428573</v>
      </c>
      <c r="I417" s="24">
        <f>+H417*1.21</f>
        <v>18.841428571428573</v>
      </c>
      <c r="J417" s="24" t="s">
        <v>2359</v>
      </c>
      <c r="K417" s="24" t="s">
        <v>2371</v>
      </c>
      <c r="L417" t="s">
        <v>1399</v>
      </c>
      <c r="M417" t="s">
        <v>1417</v>
      </c>
      <c r="N417" t="s">
        <v>1426</v>
      </c>
      <c r="O417" t="s">
        <v>1426</v>
      </c>
      <c r="P417" t="s">
        <v>1429</v>
      </c>
      <c r="Q417">
        <v>42</v>
      </c>
      <c r="R417" s="2">
        <v>8457780305634</v>
      </c>
      <c r="S417" s="3" t="s">
        <v>1033</v>
      </c>
      <c r="T417" t="s">
        <v>1354</v>
      </c>
      <c r="U417" t="s">
        <v>1355</v>
      </c>
    </row>
    <row r="418" spans="1:21" x14ac:dyDescent="0.25">
      <c r="A418" t="s">
        <v>371</v>
      </c>
      <c r="B418" t="s">
        <v>2245</v>
      </c>
      <c r="C418" t="s">
        <v>380</v>
      </c>
      <c r="D418" t="s">
        <v>1768</v>
      </c>
      <c r="E418" t="str">
        <f>+CONCATENATE(D418,". FABRICADO EN ",M418,". PUNTERA DE ",N418,". PLANTILLA ",O418,". SUELA DE ",P418)</f>
        <v>ZAPATO SERRAJE S1+P+CI+HI+SR METALICO Gris 43. FABRICADO EN PIEL SERRAJE. PUNTERA DE Acero. PLANTILLA Acero. SUELA DE PU/PU DOBLE DENSIDAD</v>
      </c>
      <c r="F418" t="str">
        <f>PROPER(E418)</f>
        <v>Zapato Serraje S1+P+Ci+Hi+Sr Metalico Gris 43. Fabricado En Piel Serraje. Puntera De Acero. Plantilla Acero. Suela De Pu/Pu Doble Densidad</v>
      </c>
      <c r="G418" s="24">
        <f>VLOOKUP(B418,Tabla1[],2,0)</f>
        <v>10.9</v>
      </c>
      <c r="H418" s="24">
        <f>+G418/0.7</f>
        <v>15.571428571428573</v>
      </c>
      <c r="I418" s="24">
        <f>+H418*1.21</f>
        <v>18.841428571428573</v>
      </c>
      <c r="J418" s="24" t="s">
        <v>2359</v>
      </c>
      <c r="K418" s="24" t="s">
        <v>2371</v>
      </c>
      <c r="L418" t="s">
        <v>1399</v>
      </c>
      <c r="M418" t="s">
        <v>1417</v>
      </c>
      <c r="N418" t="s">
        <v>1426</v>
      </c>
      <c r="O418" t="s">
        <v>1426</v>
      </c>
      <c r="P418" t="s">
        <v>1429</v>
      </c>
      <c r="Q418">
        <v>43</v>
      </c>
      <c r="R418" s="2">
        <v>8457780305641</v>
      </c>
      <c r="S418" s="3" t="s">
        <v>1034</v>
      </c>
      <c r="T418" t="s">
        <v>1354</v>
      </c>
      <c r="U418" t="s">
        <v>1355</v>
      </c>
    </row>
    <row r="419" spans="1:21" x14ac:dyDescent="0.25">
      <c r="A419" t="s">
        <v>371</v>
      </c>
      <c r="B419" t="s">
        <v>2245</v>
      </c>
      <c r="C419" t="s">
        <v>381</v>
      </c>
      <c r="D419" t="s">
        <v>1769</v>
      </c>
      <c r="E419" t="str">
        <f>+CONCATENATE(D419,". FABRICADO EN ",M419,". PUNTERA DE ",N419,". PLANTILLA ",O419,". SUELA DE ",P419)</f>
        <v>ZAPATO SERRAJE S1+P+CI+HI+SR METALICO Gris 44. FABRICADO EN PIEL SERRAJE. PUNTERA DE Acero. PLANTILLA Acero. SUELA DE PU/PU DOBLE DENSIDAD</v>
      </c>
      <c r="F419" t="str">
        <f>PROPER(E419)</f>
        <v>Zapato Serraje S1+P+Ci+Hi+Sr Metalico Gris 44. Fabricado En Piel Serraje. Puntera De Acero. Plantilla Acero. Suela De Pu/Pu Doble Densidad</v>
      </c>
      <c r="G419" s="24">
        <f>VLOOKUP(B419,Tabla1[],2,0)</f>
        <v>10.9</v>
      </c>
      <c r="H419" s="24">
        <f>+G419/0.7</f>
        <v>15.571428571428573</v>
      </c>
      <c r="I419" s="24">
        <f>+H419*1.21</f>
        <v>18.841428571428573</v>
      </c>
      <c r="J419" s="24" t="s">
        <v>2359</v>
      </c>
      <c r="K419" s="24" t="s">
        <v>2371</v>
      </c>
      <c r="L419" t="s">
        <v>1399</v>
      </c>
      <c r="M419" t="s">
        <v>1417</v>
      </c>
      <c r="N419" t="s">
        <v>1426</v>
      </c>
      <c r="O419" t="s">
        <v>1426</v>
      </c>
      <c r="P419" t="s">
        <v>1429</v>
      </c>
      <c r="Q419">
        <v>44</v>
      </c>
      <c r="R419" s="2">
        <v>8457780305658</v>
      </c>
      <c r="S419" s="3" t="s">
        <v>1035</v>
      </c>
      <c r="T419" t="s">
        <v>1354</v>
      </c>
      <c r="U419" t="s">
        <v>1355</v>
      </c>
    </row>
    <row r="420" spans="1:21" x14ac:dyDescent="0.25">
      <c r="A420" t="s">
        <v>371</v>
      </c>
      <c r="B420" t="s">
        <v>2245</v>
      </c>
      <c r="C420" t="s">
        <v>382</v>
      </c>
      <c r="D420" t="s">
        <v>1770</v>
      </c>
      <c r="E420" t="str">
        <f>+CONCATENATE(D420,". FABRICADO EN ",M420,". PUNTERA DE ",N420,". PLANTILLA ",O420,". SUELA DE ",P420)</f>
        <v>ZAPATO SERRAJE S1+P+CI+HI+SR METALICO Gris 45. FABRICADO EN PIEL SERRAJE. PUNTERA DE Acero. PLANTILLA Acero. SUELA DE PU/PU DOBLE DENSIDAD</v>
      </c>
      <c r="F420" t="str">
        <f>PROPER(E420)</f>
        <v>Zapato Serraje S1+P+Ci+Hi+Sr Metalico Gris 45. Fabricado En Piel Serraje. Puntera De Acero. Plantilla Acero. Suela De Pu/Pu Doble Densidad</v>
      </c>
      <c r="G420" s="24">
        <f>VLOOKUP(B420,Tabla1[],2,0)</f>
        <v>10.9</v>
      </c>
      <c r="H420" s="24">
        <f>+G420/0.7</f>
        <v>15.571428571428573</v>
      </c>
      <c r="I420" s="24">
        <f>+H420*1.21</f>
        <v>18.841428571428573</v>
      </c>
      <c r="J420" s="24" t="s">
        <v>2359</v>
      </c>
      <c r="K420" s="24" t="s">
        <v>2371</v>
      </c>
      <c r="L420" t="s">
        <v>1399</v>
      </c>
      <c r="M420" t="s">
        <v>1417</v>
      </c>
      <c r="N420" t="s">
        <v>1426</v>
      </c>
      <c r="O420" t="s">
        <v>1426</v>
      </c>
      <c r="P420" t="s">
        <v>1429</v>
      </c>
      <c r="Q420">
        <v>45</v>
      </c>
      <c r="R420" s="2">
        <v>8457780305665</v>
      </c>
      <c r="S420" s="3" t="s">
        <v>1036</v>
      </c>
      <c r="T420" t="s">
        <v>1354</v>
      </c>
      <c r="U420" t="s">
        <v>1355</v>
      </c>
    </row>
    <row r="421" spans="1:21" x14ac:dyDescent="0.25">
      <c r="A421" t="s">
        <v>371</v>
      </c>
      <c r="B421" t="s">
        <v>2245</v>
      </c>
      <c r="C421" t="s">
        <v>383</v>
      </c>
      <c r="D421" t="s">
        <v>1771</v>
      </c>
      <c r="E421" t="str">
        <f>+CONCATENATE(D421,". FABRICADO EN ",M421,". PUNTERA DE ",N421,". PLANTILLA ",O421,". SUELA DE ",P421)</f>
        <v>ZAPATO SERRAJE S1+P+CI+HI+SR METALICO Gris 46. FABRICADO EN PIEL SERRAJE. PUNTERA DE Acero. PLANTILLA Acero. SUELA DE PU/PU DOBLE DENSIDAD</v>
      </c>
      <c r="F421" t="str">
        <f>PROPER(E421)</f>
        <v>Zapato Serraje S1+P+Ci+Hi+Sr Metalico Gris 46. Fabricado En Piel Serraje. Puntera De Acero. Plantilla Acero. Suela De Pu/Pu Doble Densidad</v>
      </c>
      <c r="G421" s="24">
        <f>VLOOKUP(B421,Tabla1[],2,0)</f>
        <v>10.9</v>
      </c>
      <c r="H421" s="24">
        <f>+G421/0.7</f>
        <v>15.571428571428573</v>
      </c>
      <c r="I421" s="24">
        <f>+H421*1.21</f>
        <v>18.841428571428573</v>
      </c>
      <c r="J421" s="24" t="s">
        <v>2359</v>
      </c>
      <c r="K421" s="24" t="s">
        <v>2371</v>
      </c>
      <c r="L421" t="s">
        <v>1399</v>
      </c>
      <c r="M421" t="s">
        <v>1417</v>
      </c>
      <c r="N421" t="s">
        <v>1426</v>
      </c>
      <c r="O421" t="s">
        <v>1426</v>
      </c>
      <c r="P421" t="s">
        <v>1429</v>
      </c>
      <c r="Q421">
        <v>46</v>
      </c>
      <c r="R421" s="2">
        <v>8457780305672</v>
      </c>
      <c r="S421" s="3" t="s">
        <v>1037</v>
      </c>
      <c r="T421" t="s">
        <v>1354</v>
      </c>
      <c r="U421" t="s">
        <v>1355</v>
      </c>
    </row>
    <row r="422" spans="1:21" x14ac:dyDescent="0.25">
      <c r="A422" t="s">
        <v>371</v>
      </c>
      <c r="B422" t="s">
        <v>2245</v>
      </c>
      <c r="C422" t="s">
        <v>384</v>
      </c>
      <c r="D422" t="s">
        <v>1772</v>
      </c>
      <c r="E422" t="str">
        <f>+CONCATENATE(D422,". FABRICADO EN ",M422,". PUNTERA DE ",N422,". PLANTILLA ",O422,". SUELA DE ",P422)</f>
        <v>ZAPATO SERRAJE S1+P+CI+HI+SR METALICO Gris 47. FABRICADO EN PIEL SERRAJE. PUNTERA DE Acero. PLANTILLA Acero. SUELA DE PU/PU DOBLE DENSIDAD</v>
      </c>
      <c r="F422" t="str">
        <f>PROPER(E422)</f>
        <v>Zapato Serraje S1+P+Ci+Hi+Sr Metalico Gris 47. Fabricado En Piel Serraje. Puntera De Acero. Plantilla Acero. Suela De Pu/Pu Doble Densidad</v>
      </c>
      <c r="G422" s="24">
        <f>VLOOKUP(B422,Tabla1[],2,0)</f>
        <v>10.9</v>
      </c>
      <c r="H422" s="24">
        <f>+G422/0.7</f>
        <v>15.571428571428573</v>
      </c>
      <c r="I422" s="24">
        <f>+H422*1.21</f>
        <v>18.841428571428573</v>
      </c>
      <c r="J422" s="24" t="s">
        <v>2359</v>
      </c>
      <c r="K422" s="24" t="s">
        <v>2371</v>
      </c>
      <c r="L422" t="s">
        <v>1399</v>
      </c>
      <c r="M422" t="s">
        <v>1417</v>
      </c>
      <c r="N422" t="s">
        <v>1426</v>
      </c>
      <c r="O422" t="s">
        <v>1426</v>
      </c>
      <c r="P422" t="s">
        <v>1429</v>
      </c>
      <c r="Q422">
        <v>47</v>
      </c>
      <c r="R422" s="2">
        <v>8457780305689</v>
      </c>
      <c r="S422" s="3" t="s">
        <v>1038</v>
      </c>
      <c r="T422" t="s">
        <v>1354</v>
      </c>
      <c r="U422" t="s">
        <v>1355</v>
      </c>
    </row>
    <row r="423" spans="1:21" x14ac:dyDescent="0.25">
      <c r="A423" t="s">
        <v>371</v>
      </c>
      <c r="B423" t="s">
        <v>2245</v>
      </c>
      <c r="C423" t="s">
        <v>385</v>
      </c>
      <c r="D423" t="s">
        <v>1773</v>
      </c>
      <c r="E423" t="str">
        <f>+CONCATENATE(D423,". FABRICADO EN ",M423,". PUNTERA DE ",N423,". PLANTILLA ",O423,". SUELA DE ",P423)</f>
        <v>ZAPATO SERRAJE S1+P+CI+HI+SR METALICO Gris 48. FABRICADO EN PIEL SERRAJE. PUNTERA DE Acero. PLANTILLA Acero. SUELA DE PU/PU DOBLE DENSIDAD</v>
      </c>
      <c r="F423" t="str">
        <f>PROPER(E423)</f>
        <v>Zapato Serraje S1+P+Ci+Hi+Sr Metalico Gris 48. Fabricado En Piel Serraje. Puntera De Acero. Plantilla Acero. Suela De Pu/Pu Doble Densidad</v>
      </c>
      <c r="G423" s="24">
        <f>VLOOKUP(B423,Tabla1[],2,0)</f>
        <v>10.9</v>
      </c>
      <c r="H423" s="24">
        <f>+G423/0.7</f>
        <v>15.571428571428573</v>
      </c>
      <c r="I423" s="24">
        <f>+H423*1.21</f>
        <v>18.841428571428573</v>
      </c>
      <c r="J423" s="24" t="s">
        <v>2359</v>
      </c>
      <c r="K423" s="24" t="s">
        <v>2371</v>
      </c>
      <c r="L423" t="s">
        <v>1399</v>
      </c>
      <c r="M423" t="s">
        <v>1417</v>
      </c>
      <c r="N423" t="s">
        <v>1426</v>
      </c>
      <c r="O423" t="s">
        <v>1426</v>
      </c>
      <c r="P423" t="s">
        <v>1429</v>
      </c>
      <c r="Q423">
        <v>48</v>
      </c>
      <c r="R423" s="2">
        <v>8457780305696</v>
      </c>
      <c r="S423" s="3">
        <v>18457780305693</v>
      </c>
      <c r="T423" t="s">
        <v>1354</v>
      </c>
      <c r="U423" t="s">
        <v>1355</v>
      </c>
    </row>
    <row r="424" spans="1:21" x14ac:dyDescent="0.25">
      <c r="A424" t="s">
        <v>2163</v>
      </c>
      <c r="B424" t="s">
        <v>2246</v>
      </c>
      <c r="C424" t="s">
        <v>2161</v>
      </c>
      <c r="D424" t="s">
        <v>2162</v>
      </c>
      <c r="E424" t="str">
        <f>+CONCATENATE(D424,". FABRICADO EN ",M424,". PUNTERA DE ",N424,". PLANTILLA ",O424,". SUELA DE ",P424)</f>
        <v>ZAPATO SBPS E FO CI HI WPA WR HRO LG SC SR   Negro/Rojo 48. FABRICADO EN POLIAMIDA + MICROFIBRA. PUNTERA DE Fibra de vidrio. PLANTILLA Antiperforación textil. SUELA DE PU/CAUCHO NITRILO</v>
      </c>
      <c r="F424" t="str">
        <f>PROPER(E424)</f>
        <v>Zapato Sbps E Fo Ci Hi Wpa Wr Hro Lg Sc Sr   Negro/Rojo 48. Fabricado En Poliamida + Microfibra. Puntera De Fibra De Vidrio. Plantilla Antiperforación Textil. Suela De Pu/Caucho Nitrilo</v>
      </c>
      <c r="G424" s="24">
        <f>VLOOKUP(B424,Tabla1[],2,0)</f>
        <v>39</v>
      </c>
      <c r="H424" s="24">
        <f>+G424/0.72</f>
        <v>54.166666666666671</v>
      </c>
      <c r="I424" s="24">
        <f>+H424*1.21</f>
        <v>65.541666666666671</v>
      </c>
      <c r="J424" s="24" t="s">
        <v>2359</v>
      </c>
      <c r="K424" s="24" t="s">
        <v>2370</v>
      </c>
      <c r="L424" t="s">
        <v>1401</v>
      </c>
      <c r="M424" t="s">
        <v>2164</v>
      </c>
      <c r="N424" t="s">
        <v>1425</v>
      </c>
      <c r="O424" t="s">
        <v>1428</v>
      </c>
      <c r="P424" t="s">
        <v>2134</v>
      </c>
      <c r="Q424">
        <v>48</v>
      </c>
      <c r="R424" s="3">
        <v>8457780348693</v>
      </c>
      <c r="S424" s="3">
        <v>18457780348690</v>
      </c>
      <c r="T424" t="s">
        <v>2167</v>
      </c>
    </row>
    <row r="425" spans="1:21" x14ac:dyDescent="0.25">
      <c r="A425" t="s">
        <v>2163</v>
      </c>
      <c r="B425" t="s">
        <v>2246</v>
      </c>
      <c r="C425" t="s">
        <v>2137</v>
      </c>
      <c r="D425" t="s">
        <v>2138</v>
      </c>
      <c r="E425" t="str">
        <f>+CONCATENATE(D425,". FABRICADO EN ",M425,". PUNTERA DE ",N425,". PLANTILLA ",O425,". SUELA DE ",P425)</f>
        <v>ZAPATO SBPS E FO CI HI WPA WR HRO LG SC SR  Negro/Rojo 36. FABRICADO EN POLIAMIDA + MICROFIBRA. PUNTERA DE Fibra de vidrio. PLANTILLA Antiperforación textil. SUELA DE PU/CAUCHO NITRILO</v>
      </c>
      <c r="F425" t="str">
        <f>PROPER(E425)</f>
        <v>Zapato Sbps E Fo Ci Hi Wpa Wr Hro Lg Sc Sr  Negro/Rojo 36. Fabricado En Poliamida + Microfibra. Puntera De Fibra De Vidrio. Plantilla Antiperforación Textil. Suela De Pu/Caucho Nitrilo</v>
      </c>
      <c r="G425" s="24">
        <f>VLOOKUP(B425,Tabla1[],2,0)</f>
        <v>39</v>
      </c>
      <c r="H425" s="24">
        <f>+G425/0.72</f>
        <v>54.166666666666671</v>
      </c>
      <c r="I425" s="24">
        <f>+H425*1.21</f>
        <v>65.541666666666671</v>
      </c>
      <c r="J425" s="24" t="s">
        <v>2359</v>
      </c>
      <c r="K425" s="24" t="s">
        <v>2370</v>
      </c>
      <c r="L425" t="s">
        <v>1401</v>
      </c>
      <c r="M425" t="s">
        <v>2164</v>
      </c>
      <c r="N425" t="s">
        <v>1425</v>
      </c>
      <c r="O425" t="s">
        <v>1428</v>
      </c>
      <c r="P425" t="s">
        <v>2134</v>
      </c>
      <c r="Q425">
        <v>36</v>
      </c>
      <c r="R425" s="3">
        <v>8457780348570</v>
      </c>
      <c r="S425" s="3">
        <v>18457780348577</v>
      </c>
      <c r="T425" t="s">
        <v>2167</v>
      </c>
    </row>
    <row r="426" spans="1:21" x14ac:dyDescent="0.25">
      <c r="A426" t="s">
        <v>2163</v>
      </c>
      <c r="B426" t="s">
        <v>2246</v>
      </c>
      <c r="C426" t="s">
        <v>2139</v>
      </c>
      <c r="D426" t="s">
        <v>2140</v>
      </c>
      <c r="E426" t="str">
        <f>+CONCATENATE(D426,". FABRICADO EN ",M426,". PUNTERA DE ",N426,". PLANTILLA ",O426,". SUELA DE ",P426)</f>
        <v>ZAPATO SBPS E FO CI HI WPA WR HRO LG SC SR  Negro/Rojo 37. FABRICADO EN POLIAMIDA + MICROFIBRA. PUNTERA DE Fibra de vidrio. PLANTILLA Antiperforación textil. SUELA DE PU/CAUCHO NITRILO</v>
      </c>
      <c r="F426" t="str">
        <f>PROPER(E426)</f>
        <v>Zapato Sbps E Fo Ci Hi Wpa Wr Hro Lg Sc Sr  Negro/Rojo 37. Fabricado En Poliamida + Microfibra. Puntera De Fibra De Vidrio. Plantilla Antiperforación Textil. Suela De Pu/Caucho Nitrilo</v>
      </c>
      <c r="G426" s="24">
        <f>VLOOKUP(B426,Tabla1[],2,0)</f>
        <v>39</v>
      </c>
      <c r="H426" s="24">
        <f>+G426/0.72</f>
        <v>54.166666666666671</v>
      </c>
      <c r="I426" s="24">
        <f>+H426*1.21</f>
        <v>65.541666666666671</v>
      </c>
      <c r="J426" s="24" t="s">
        <v>2359</v>
      </c>
      <c r="K426" s="24" t="s">
        <v>2370</v>
      </c>
      <c r="L426" t="s">
        <v>1401</v>
      </c>
      <c r="M426" t="s">
        <v>2164</v>
      </c>
      <c r="N426" t="s">
        <v>1425</v>
      </c>
      <c r="O426" t="s">
        <v>1428</v>
      </c>
      <c r="P426" t="s">
        <v>2134</v>
      </c>
      <c r="Q426">
        <v>37</v>
      </c>
      <c r="R426" s="3">
        <v>8457780348587</v>
      </c>
      <c r="S426" s="3">
        <v>18457780348584</v>
      </c>
      <c r="T426" t="s">
        <v>2167</v>
      </c>
    </row>
    <row r="427" spans="1:21" x14ac:dyDescent="0.25">
      <c r="A427" t="s">
        <v>2163</v>
      </c>
      <c r="B427" t="s">
        <v>2246</v>
      </c>
      <c r="C427" t="s">
        <v>2141</v>
      </c>
      <c r="D427" t="s">
        <v>2142</v>
      </c>
      <c r="E427" t="str">
        <f>+CONCATENATE(D427,". FABRICADO EN ",M427,". PUNTERA DE ",N427,". PLANTILLA ",O427,". SUELA DE ",P427)</f>
        <v>ZAPATO SBPS E FO CI HI WPA WR HRO LG SC SR  Negro/Rojo 38. FABRICADO EN POLIAMIDA + MICROFIBRA. PUNTERA DE Fibra de vidrio. PLANTILLA Antiperforación textil. SUELA DE PU/CAUCHO NITRILO</v>
      </c>
      <c r="F427" t="str">
        <f>PROPER(E427)</f>
        <v>Zapato Sbps E Fo Ci Hi Wpa Wr Hro Lg Sc Sr  Negro/Rojo 38. Fabricado En Poliamida + Microfibra. Puntera De Fibra De Vidrio. Plantilla Antiperforación Textil. Suela De Pu/Caucho Nitrilo</v>
      </c>
      <c r="G427" s="24">
        <f>VLOOKUP(B427,Tabla1[],2,0)</f>
        <v>39</v>
      </c>
      <c r="H427" s="24">
        <f>+G427/0.72</f>
        <v>54.166666666666671</v>
      </c>
      <c r="I427" s="24">
        <f>+H427*1.21</f>
        <v>65.541666666666671</v>
      </c>
      <c r="J427" s="24" t="s">
        <v>2359</v>
      </c>
      <c r="K427" s="24" t="s">
        <v>2370</v>
      </c>
      <c r="L427" t="s">
        <v>1401</v>
      </c>
      <c r="M427" t="s">
        <v>2164</v>
      </c>
      <c r="N427" t="s">
        <v>1425</v>
      </c>
      <c r="O427" t="s">
        <v>1428</v>
      </c>
      <c r="P427" t="s">
        <v>2134</v>
      </c>
      <c r="Q427">
        <v>38</v>
      </c>
      <c r="R427" s="3">
        <v>8457780348594</v>
      </c>
      <c r="S427" s="3">
        <v>18457780348591</v>
      </c>
      <c r="T427" t="s">
        <v>2167</v>
      </c>
    </row>
    <row r="428" spans="1:21" x14ac:dyDescent="0.25">
      <c r="A428" t="s">
        <v>2163</v>
      </c>
      <c r="B428" t="s">
        <v>2246</v>
      </c>
      <c r="C428" t="s">
        <v>2143</v>
      </c>
      <c r="D428" t="s">
        <v>2144</v>
      </c>
      <c r="E428" t="str">
        <f>+CONCATENATE(D428,". FABRICADO EN ",M428,". PUNTERA DE ",N428,". PLANTILLA ",O428,". SUELA DE ",P428)</f>
        <v>ZAPATO SBPS E FO CI HI WPA WR HRO LG SC SR  Negro/Rojo 39. FABRICADO EN POLIAMIDA + MICROFIBRA. PUNTERA DE Fibra de vidrio. PLANTILLA Antiperforación textil. SUELA DE PU/CAUCHO NITRILO</v>
      </c>
      <c r="F428" t="str">
        <f>PROPER(E428)</f>
        <v>Zapato Sbps E Fo Ci Hi Wpa Wr Hro Lg Sc Sr  Negro/Rojo 39. Fabricado En Poliamida + Microfibra. Puntera De Fibra De Vidrio. Plantilla Antiperforación Textil. Suela De Pu/Caucho Nitrilo</v>
      </c>
      <c r="G428" s="24">
        <f>VLOOKUP(B428,Tabla1[],2,0)</f>
        <v>39</v>
      </c>
      <c r="H428" s="24">
        <f>+G428/0.72</f>
        <v>54.166666666666671</v>
      </c>
      <c r="I428" s="24">
        <f>+H428*1.21</f>
        <v>65.541666666666671</v>
      </c>
      <c r="J428" s="24" t="s">
        <v>2359</v>
      </c>
      <c r="K428" s="24" t="s">
        <v>2370</v>
      </c>
      <c r="L428" t="s">
        <v>1401</v>
      </c>
      <c r="M428" t="s">
        <v>2164</v>
      </c>
      <c r="N428" t="s">
        <v>1425</v>
      </c>
      <c r="O428" t="s">
        <v>1428</v>
      </c>
      <c r="P428" t="s">
        <v>2134</v>
      </c>
      <c r="Q428">
        <v>39</v>
      </c>
      <c r="R428" s="3">
        <v>8457780348600</v>
      </c>
      <c r="S428" s="3">
        <v>18457780348607</v>
      </c>
      <c r="T428" t="s">
        <v>2167</v>
      </c>
    </row>
    <row r="429" spans="1:21" x14ac:dyDescent="0.25">
      <c r="A429" t="s">
        <v>2163</v>
      </c>
      <c r="B429" t="s">
        <v>2246</v>
      </c>
      <c r="C429" t="s">
        <v>2145</v>
      </c>
      <c r="D429" t="s">
        <v>2146</v>
      </c>
      <c r="E429" t="str">
        <f>+CONCATENATE(D429,". FABRICADO EN ",M429,". PUNTERA DE ",N429,". PLANTILLA ",O429,". SUELA DE ",P429)</f>
        <v>ZAPATO SBPS E FO CI HI WPA WR HRO LG SC SR  Negro/Rojo 40. FABRICADO EN POLIAMIDA + MICROFIBRA. PUNTERA DE Fibra de vidrio. PLANTILLA Antiperforación textil. SUELA DE PU/CAUCHO NITRILO</v>
      </c>
      <c r="F429" t="str">
        <f>PROPER(E429)</f>
        <v>Zapato Sbps E Fo Ci Hi Wpa Wr Hro Lg Sc Sr  Negro/Rojo 40. Fabricado En Poliamida + Microfibra. Puntera De Fibra De Vidrio. Plantilla Antiperforación Textil. Suela De Pu/Caucho Nitrilo</v>
      </c>
      <c r="G429" s="24">
        <f>VLOOKUP(B429,Tabla1[],2,0)</f>
        <v>39</v>
      </c>
      <c r="H429" s="24">
        <f>+G429/0.72</f>
        <v>54.166666666666671</v>
      </c>
      <c r="I429" s="24">
        <f>+H429*1.21</f>
        <v>65.541666666666671</v>
      </c>
      <c r="J429" s="24" t="s">
        <v>2359</v>
      </c>
      <c r="K429" s="24" t="s">
        <v>2370</v>
      </c>
      <c r="L429" t="s">
        <v>1401</v>
      </c>
      <c r="M429" t="s">
        <v>2164</v>
      </c>
      <c r="N429" t="s">
        <v>1425</v>
      </c>
      <c r="O429" t="s">
        <v>1428</v>
      </c>
      <c r="P429" t="s">
        <v>2134</v>
      </c>
      <c r="Q429">
        <v>40</v>
      </c>
      <c r="R429" s="3">
        <v>8457780348617</v>
      </c>
      <c r="S429" s="3">
        <v>18457780348614</v>
      </c>
      <c r="T429" t="s">
        <v>2167</v>
      </c>
    </row>
    <row r="430" spans="1:21" x14ac:dyDescent="0.25">
      <c r="A430" t="s">
        <v>2163</v>
      </c>
      <c r="B430" t="s">
        <v>2246</v>
      </c>
      <c r="C430" t="s">
        <v>2147</v>
      </c>
      <c r="D430" t="s">
        <v>2148</v>
      </c>
      <c r="E430" t="str">
        <f>+CONCATENATE(D430,". FABRICADO EN ",M430,". PUNTERA DE ",N430,". PLANTILLA ",O430,". SUELA DE ",P430)</f>
        <v>ZAPATO SBPS E FO CI HI WPA WR HRO LG SC SR  Negro/Rojo 41. FABRICADO EN POLIAMIDA + MICROFIBRA. PUNTERA DE Fibra de vidrio. PLANTILLA Antiperforación textil. SUELA DE PU/CAUCHO NITRILO</v>
      </c>
      <c r="F430" t="str">
        <f>PROPER(E430)</f>
        <v>Zapato Sbps E Fo Ci Hi Wpa Wr Hro Lg Sc Sr  Negro/Rojo 41. Fabricado En Poliamida + Microfibra. Puntera De Fibra De Vidrio. Plantilla Antiperforación Textil. Suela De Pu/Caucho Nitrilo</v>
      </c>
      <c r="G430" s="24">
        <f>VLOOKUP(B430,Tabla1[],2,0)</f>
        <v>39</v>
      </c>
      <c r="H430" s="24">
        <f>+G430/0.72</f>
        <v>54.166666666666671</v>
      </c>
      <c r="I430" s="24">
        <f>+H430*1.21</f>
        <v>65.541666666666671</v>
      </c>
      <c r="J430" s="24" t="s">
        <v>2359</v>
      </c>
      <c r="K430" s="24" t="s">
        <v>2370</v>
      </c>
      <c r="L430" t="s">
        <v>1401</v>
      </c>
      <c r="M430" t="s">
        <v>2164</v>
      </c>
      <c r="N430" t="s">
        <v>1425</v>
      </c>
      <c r="O430" t="s">
        <v>1428</v>
      </c>
      <c r="P430" t="s">
        <v>2134</v>
      </c>
      <c r="Q430">
        <v>41</v>
      </c>
      <c r="R430" s="3">
        <v>8457780348624</v>
      </c>
      <c r="S430" s="3">
        <v>18457780348621</v>
      </c>
      <c r="T430" t="s">
        <v>2167</v>
      </c>
    </row>
    <row r="431" spans="1:21" x14ac:dyDescent="0.25">
      <c r="A431" t="s">
        <v>2163</v>
      </c>
      <c r="B431" t="s">
        <v>2246</v>
      </c>
      <c r="C431" t="s">
        <v>2149</v>
      </c>
      <c r="D431" t="s">
        <v>2150</v>
      </c>
      <c r="E431" t="str">
        <f>+CONCATENATE(D431,". FABRICADO EN ",M431,". PUNTERA DE ",N431,". PLANTILLA ",O431,". SUELA DE ",P431)</f>
        <v>ZAPATO SBPS E FO CI HI WPA WR HRO LG SC SR  Negro/Rojo 42. FABRICADO EN POLIAMIDA + MICROFIBRA. PUNTERA DE Fibra de vidrio. PLANTILLA Antiperforación textil. SUELA DE PU/CAUCHO NITRILO</v>
      </c>
      <c r="F431" t="str">
        <f>PROPER(E431)</f>
        <v>Zapato Sbps E Fo Ci Hi Wpa Wr Hro Lg Sc Sr  Negro/Rojo 42. Fabricado En Poliamida + Microfibra. Puntera De Fibra De Vidrio. Plantilla Antiperforación Textil. Suela De Pu/Caucho Nitrilo</v>
      </c>
      <c r="G431" s="24">
        <f>VLOOKUP(B431,Tabla1[],2,0)</f>
        <v>39</v>
      </c>
      <c r="H431" s="24">
        <f>+G431/0.72</f>
        <v>54.166666666666671</v>
      </c>
      <c r="I431" s="24">
        <f>+H431*1.21</f>
        <v>65.541666666666671</v>
      </c>
      <c r="J431" s="24" t="s">
        <v>2359</v>
      </c>
      <c r="K431" s="24" t="s">
        <v>2370</v>
      </c>
      <c r="L431" t="s">
        <v>1401</v>
      </c>
      <c r="M431" t="s">
        <v>2164</v>
      </c>
      <c r="N431" t="s">
        <v>1425</v>
      </c>
      <c r="O431" t="s">
        <v>1428</v>
      </c>
      <c r="P431" t="s">
        <v>2134</v>
      </c>
      <c r="Q431">
        <v>42</v>
      </c>
      <c r="R431" s="3">
        <v>8457780348631</v>
      </c>
      <c r="S431" s="3">
        <v>18457780348638</v>
      </c>
      <c r="T431" t="s">
        <v>2167</v>
      </c>
    </row>
    <row r="432" spans="1:21" x14ac:dyDescent="0.25">
      <c r="A432" t="s">
        <v>2163</v>
      </c>
      <c r="B432" t="s">
        <v>2246</v>
      </c>
      <c r="C432" t="s">
        <v>2151</v>
      </c>
      <c r="D432" t="s">
        <v>2152</v>
      </c>
      <c r="E432" t="str">
        <f>+CONCATENATE(D432,". FABRICADO EN ",M432,". PUNTERA DE ",N432,". PLANTILLA ",O432,". SUELA DE ",P432)</f>
        <v>ZAPATO SBPS E FO CI HI WPA WR HRO LG SC SR  Negro/Rojo 43. FABRICADO EN POLIAMIDA + MICROFIBRA. PUNTERA DE Fibra de vidrio. PLANTILLA Antiperforación textil. SUELA DE PU/CAUCHO NITRILO</v>
      </c>
      <c r="F432" t="str">
        <f>PROPER(E432)</f>
        <v>Zapato Sbps E Fo Ci Hi Wpa Wr Hro Lg Sc Sr  Negro/Rojo 43. Fabricado En Poliamida + Microfibra. Puntera De Fibra De Vidrio. Plantilla Antiperforación Textil. Suela De Pu/Caucho Nitrilo</v>
      </c>
      <c r="G432" s="24">
        <f>VLOOKUP(B432,Tabla1[],2,0)</f>
        <v>39</v>
      </c>
      <c r="H432" s="24">
        <f>+G432/0.72</f>
        <v>54.166666666666671</v>
      </c>
      <c r="I432" s="24">
        <f>+H432*1.21</f>
        <v>65.541666666666671</v>
      </c>
      <c r="J432" s="24" t="s">
        <v>2359</v>
      </c>
      <c r="K432" s="24" t="s">
        <v>2370</v>
      </c>
      <c r="L432" t="s">
        <v>1401</v>
      </c>
      <c r="M432" t="s">
        <v>2164</v>
      </c>
      <c r="N432" t="s">
        <v>1425</v>
      </c>
      <c r="O432" t="s">
        <v>1428</v>
      </c>
      <c r="P432" t="s">
        <v>2134</v>
      </c>
      <c r="Q432">
        <v>43</v>
      </c>
      <c r="R432" s="3">
        <v>8457780348648</v>
      </c>
      <c r="S432" s="3">
        <v>18457780348645</v>
      </c>
      <c r="T432" t="s">
        <v>2167</v>
      </c>
    </row>
    <row r="433" spans="1:20" x14ac:dyDescent="0.25">
      <c r="A433" t="s">
        <v>2163</v>
      </c>
      <c r="B433" t="s">
        <v>2246</v>
      </c>
      <c r="C433" t="s">
        <v>2153</v>
      </c>
      <c r="D433" t="s">
        <v>2154</v>
      </c>
      <c r="E433" t="str">
        <f>+CONCATENATE(D433,". FABRICADO EN ",M433,". PUNTERA DE ",N433,". PLANTILLA ",O433,". SUELA DE ",P433)</f>
        <v>ZAPATO SBPS E FO CI HI WPA WR HRO LG SC SR  Negro/Rojo 44. FABRICADO EN POLIAMIDA + MICROFIBRA. PUNTERA DE Fibra de vidrio. PLANTILLA Antiperforación textil. SUELA DE PU/CAUCHO NITRILO</v>
      </c>
      <c r="F433" t="str">
        <f>PROPER(E433)</f>
        <v>Zapato Sbps E Fo Ci Hi Wpa Wr Hro Lg Sc Sr  Negro/Rojo 44. Fabricado En Poliamida + Microfibra. Puntera De Fibra De Vidrio. Plantilla Antiperforación Textil. Suela De Pu/Caucho Nitrilo</v>
      </c>
      <c r="G433" s="24">
        <f>VLOOKUP(B433,Tabla1[],2,0)</f>
        <v>39</v>
      </c>
      <c r="H433" s="24">
        <f>+G433/0.72</f>
        <v>54.166666666666671</v>
      </c>
      <c r="I433" s="24">
        <f>+H433*1.21</f>
        <v>65.541666666666671</v>
      </c>
      <c r="J433" s="24" t="s">
        <v>2359</v>
      </c>
      <c r="K433" s="24" t="s">
        <v>2370</v>
      </c>
      <c r="L433" t="s">
        <v>1401</v>
      </c>
      <c r="M433" t="s">
        <v>2164</v>
      </c>
      <c r="N433" t="s">
        <v>1425</v>
      </c>
      <c r="O433" t="s">
        <v>1428</v>
      </c>
      <c r="P433" t="s">
        <v>2134</v>
      </c>
      <c r="Q433">
        <v>44</v>
      </c>
      <c r="R433" s="3">
        <v>8457780348655</v>
      </c>
      <c r="S433" s="3">
        <v>18457780348652</v>
      </c>
      <c r="T433" t="s">
        <v>2167</v>
      </c>
    </row>
    <row r="434" spans="1:20" x14ac:dyDescent="0.25">
      <c r="A434" t="s">
        <v>2163</v>
      </c>
      <c r="B434" t="s">
        <v>2246</v>
      </c>
      <c r="C434" t="s">
        <v>2157</v>
      </c>
      <c r="D434" t="s">
        <v>2158</v>
      </c>
      <c r="E434" t="str">
        <f>+CONCATENATE(D434,". FABRICADO EN ",M434,". PUNTERA DE ",N434,". PLANTILLA ",O434,". SUELA DE ",P434)</f>
        <v>ZAPATO SBPS E FO CI HI WPA WR HRO LG SC SR  Negro/Rojo 46. FABRICADO EN POLIAMIDA + MICROFIBRA. PUNTERA DE Fibra de vidrio. PLANTILLA Antiperforación textil. SUELA DE PU/CAUCHO NITRILO</v>
      </c>
      <c r="F434" t="str">
        <f>PROPER(E434)</f>
        <v>Zapato Sbps E Fo Ci Hi Wpa Wr Hro Lg Sc Sr  Negro/Rojo 46. Fabricado En Poliamida + Microfibra. Puntera De Fibra De Vidrio. Plantilla Antiperforación Textil. Suela De Pu/Caucho Nitrilo</v>
      </c>
      <c r="G434" s="24">
        <f>VLOOKUP(B434,Tabla1[],2,0)</f>
        <v>39</v>
      </c>
      <c r="H434" s="24">
        <f>+G434/0.72</f>
        <v>54.166666666666671</v>
      </c>
      <c r="I434" s="24">
        <f>+H434*1.21</f>
        <v>65.541666666666671</v>
      </c>
      <c r="J434" s="24" t="s">
        <v>2359</v>
      </c>
      <c r="K434" s="24" t="s">
        <v>2370</v>
      </c>
      <c r="L434" t="s">
        <v>1401</v>
      </c>
      <c r="M434" t="s">
        <v>2164</v>
      </c>
      <c r="N434" t="s">
        <v>1425</v>
      </c>
      <c r="O434" t="s">
        <v>1428</v>
      </c>
      <c r="P434" t="s">
        <v>2134</v>
      </c>
      <c r="Q434">
        <v>46</v>
      </c>
      <c r="R434" s="3">
        <v>8457780348679</v>
      </c>
      <c r="S434" s="3">
        <v>18457780348676</v>
      </c>
      <c r="T434" t="s">
        <v>2167</v>
      </c>
    </row>
    <row r="435" spans="1:20" x14ac:dyDescent="0.25">
      <c r="A435" t="s">
        <v>2163</v>
      </c>
      <c r="B435" t="s">
        <v>2246</v>
      </c>
      <c r="C435" t="s">
        <v>2159</v>
      </c>
      <c r="D435" t="s">
        <v>2160</v>
      </c>
      <c r="E435" t="str">
        <f>+CONCATENATE(D435,". FABRICADO EN ",M435,". PUNTERA DE ",N435,". PLANTILLA ",O435,". SUELA DE ",P435)</f>
        <v>ZAPATO SBPS E FO CI HI WPA WR HRO LG SC SR  Negro/Rojo 47. FABRICADO EN POLIAMIDA + MICROFIBRA. PUNTERA DE Fibra de vidrio. PLANTILLA Antiperforación textil. SUELA DE PU/CAUCHO NITRILO</v>
      </c>
      <c r="F435" t="str">
        <f>PROPER(E435)</f>
        <v>Zapato Sbps E Fo Ci Hi Wpa Wr Hro Lg Sc Sr  Negro/Rojo 47. Fabricado En Poliamida + Microfibra. Puntera De Fibra De Vidrio. Plantilla Antiperforación Textil. Suela De Pu/Caucho Nitrilo</v>
      </c>
      <c r="G435" s="24">
        <f>VLOOKUP(B435,Tabla1[],2,0)</f>
        <v>39</v>
      </c>
      <c r="H435" s="24">
        <f>+G435/0.72</f>
        <v>54.166666666666671</v>
      </c>
      <c r="I435" s="24">
        <f>+H435*1.21</f>
        <v>65.541666666666671</v>
      </c>
      <c r="J435" s="24" t="s">
        <v>2359</v>
      </c>
      <c r="K435" s="24" t="s">
        <v>2370</v>
      </c>
      <c r="L435" t="s">
        <v>1401</v>
      </c>
      <c r="M435" t="s">
        <v>2164</v>
      </c>
      <c r="N435" t="s">
        <v>1425</v>
      </c>
      <c r="O435" t="s">
        <v>1428</v>
      </c>
      <c r="P435" t="s">
        <v>2134</v>
      </c>
      <c r="Q435">
        <v>47</v>
      </c>
      <c r="R435" s="3">
        <v>8457780348686</v>
      </c>
      <c r="S435" s="3">
        <v>18457780348683</v>
      </c>
      <c r="T435" t="s">
        <v>2167</v>
      </c>
    </row>
    <row r="436" spans="1:20" x14ac:dyDescent="0.25">
      <c r="A436" t="s">
        <v>2163</v>
      </c>
      <c r="B436" t="s">
        <v>2246</v>
      </c>
      <c r="C436" t="s">
        <v>2135</v>
      </c>
      <c r="D436" t="s">
        <v>2136</v>
      </c>
      <c r="E436" t="str">
        <f>+CONCATENATE(D436,". FABRICADO EN ",M436,". PUNTERA DE ",N436,". PLANTILLA ",O436,". SUELA DE ",P436)</f>
        <v>ZAPATO SBPS E FO CI HI WPA WR HRO LG SC SR Negro/Rojo 35. FABRICADO EN POLIAMIDA + MICROFIBRA. PUNTERA DE Fibra de vidrio. PLANTILLA Antiperforación textil. SUELA DE PU/CAUCHO NITRILO</v>
      </c>
      <c r="F436" t="str">
        <f>PROPER(E436)</f>
        <v>Zapato Sbps E Fo Ci Hi Wpa Wr Hro Lg Sc Sr Negro/Rojo 35. Fabricado En Poliamida + Microfibra. Puntera De Fibra De Vidrio. Plantilla Antiperforación Textil. Suela De Pu/Caucho Nitrilo</v>
      </c>
      <c r="G436" s="24">
        <f>VLOOKUP(B436,Tabla1[],2,0)</f>
        <v>39</v>
      </c>
      <c r="H436" s="24">
        <f>+G436/0.72</f>
        <v>54.166666666666671</v>
      </c>
      <c r="I436" s="24">
        <f>+H436*1.21</f>
        <v>65.541666666666671</v>
      </c>
      <c r="J436" s="24" t="s">
        <v>2359</v>
      </c>
      <c r="K436" s="24" t="s">
        <v>2370</v>
      </c>
      <c r="L436" t="s">
        <v>1401</v>
      </c>
      <c r="M436" t="s">
        <v>2164</v>
      </c>
      <c r="N436" t="s">
        <v>1425</v>
      </c>
      <c r="O436" t="s">
        <v>1428</v>
      </c>
      <c r="P436" t="s">
        <v>2134</v>
      </c>
      <c r="Q436">
        <v>35</v>
      </c>
      <c r="R436" s="3">
        <v>8457780348563</v>
      </c>
      <c r="S436" s="3">
        <v>18457780348560</v>
      </c>
      <c r="T436" t="s">
        <v>2167</v>
      </c>
    </row>
    <row r="437" spans="1:20" x14ac:dyDescent="0.25">
      <c r="A437" t="s">
        <v>2163</v>
      </c>
      <c r="B437" t="s">
        <v>2246</v>
      </c>
      <c r="C437" t="s">
        <v>2155</v>
      </c>
      <c r="D437" t="s">
        <v>2156</v>
      </c>
      <c r="E437" t="str">
        <f>+CONCATENATE(D437,". FABRICADO EN ",M437,". PUNTERA DE ",N437,". PLANTILLA ",O437,". SUELA DE ",P437)</f>
        <v>ZAPATO SBPS E FO CI HI WPA WR HRO LG SC SR Negro/Rojo 45. FABRICADO EN POLIAMIDA + MICROFIBRA. PUNTERA DE Fibra de vidrio. PLANTILLA Antiperforación textil. SUELA DE PU/CAUCHO NITRILO</v>
      </c>
      <c r="F437" t="str">
        <f>PROPER(E437)</f>
        <v>Zapato Sbps E Fo Ci Hi Wpa Wr Hro Lg Sc Sr Negro/Rojo 45. Fabricado En Poliamida + Microfibra. Puntera De Fibra De Vidrio. Plantilla Antiperforación Textil. Suela De Pu/Caucho Nitrilo</v>
      </c>
      <c r="G437" s="24">
        <f>VLOOKUP(B437,Tabla1[],2,0)</f>
        <v>39</v>
      </c>
      <c r="H437" s="24">
        <f>+G437/0.72</f>
        <v>54.166666666666671</v>
      </c>
      <c r="I437" s="24">
        <f>+H437*1.21</f>
        <v>65.541666666666671</v>
      </c>
      <c r="J437" s="24" t="s">
        <v>2359</v>
      </c>
      <c r="K437" s="24" t="s">
        <v>2370</v>
      </c>
      <c r="L437" t="s">
        <v>1401</v>
      </c>
      <c r="M437" t="s">
        <v>2164</v>
      </c>
      <c r="N437" t="s">
        <v>1425</v>
      </c>
      <c r="O437" t="s">
        <v>1428</v>
      </c>
      <c r="P437" t="s">
        <v>2134</v>
      </c>
      <c r="Q437">
        <v>45</v>
      </c>
      <c r="R437" s="3">
        <v>8457780348662</v>
      </c>
      <c r="S437" s="3">
        <v>18457780348669</v>
      </c>
      <c r="T437" t="s">
        <v>2167</v>
      </c>
    </row>
    <row r="438" spans="1:20" x14ac:dyDescent="0.25">
      <c r="A438" t="s">
        <v>386</v>
      </c>
      <c r="B438" t="s">
        <v>2247</v>
      </c>
      <c r="C438" t="s">
        <v>387</v>
      </c>
      <c r="D438" t="s">
        <v>1774</v>
      </c>
      <c r="E438" t="str">
        <f>+CONCATENATE(D438,". FABRICADO EN ",M438,". PUNTERA DE ",N438,". PLANTILLA ",O438,". SUELA DE ",P438)</f>
        <v>ZAPATO MF S3S+CI+HI+FO+SR+ESD Negro 35. FABRICADO EN TEXTIL S3. PUNTERA DE Fibra de vidrio. PLANTILLA Antiperforación textil. SUELA DE PU/PU DOBLE DENSIDAD</v>
      </c>
      <c r="F438" t="str">
        <f>PROPER(E438)</f>
        <v>Zapato Mf S3S+Ci+Hi+Fo+Sr+Esd Negro 35. Fabricado En Textil S3. Puntera De Fibra De Vidrio. Plantilla Antiperforación Textil. Suela De Pu/Pu Doble Densidad</v>
      </c>
      <c r="G438" s="24">
        <f>VLOOKUP(B438,Tabla1[],2,0)</f>
        <v>24.5</v>
      </c>
      <c r="H438" s="24">
        <f>+G438/0.72</f>
        <v>34.027777777777779</v>
      </c>
      <c r="I438" s="24">
        <f>+H438*1.21</f>
        <v>41.173611111111114</v>
      </c>
      <c r="J438" s="24" t="s">
        <v>2359</v>
      </c>
      <c r="K438" s="24" t="s">
        <v>2365</v>
      </c>
      <c r="L438" t="s">
        <v>1392</v>
      </c>
      <c r="M438" t="s">
        <v>1414</v>
      </c>
      <c r="N438" t="s">
        <v>1425</v>
      </c>
      <c r="O438" t="s">
        <v>1428</v>
      </c>
      <c r="P438" t="s">
        <v>1429</v>
      </c>
      <c r="Q438">
        <v>35</v>
      </c>
      <c r="R438" s="2">
        <v>8457780335150</v>
      </c>
      <c r="S438" s="3" t="s">
        <v>1039</v>
      </c>
      <c r="T438" t="s">
        <v>1370</v>
      </c>
    </row>
    <row r="439" spans="1:20" x14ac:dyDescent="0.25">
      <c r="A439" t="s">
        <v>386</v>
      </c>
      <c r="B439" t="s">
        <v>2247</v>
      </c>
      <c r="C439" t="s">
        <v>388</v>
      </c>
      <c r="D439" t="s">
        <v>1775</v>
      </c>
      <c r="E439" t="str">
        <f>+CONCATENATE(D439,". FABRICADO EN ",M439,". PUNTERA DE ",N439,". PLANTILLA ",O439,". SUELA DE ",P439)</f>
        <v>ZAPATO MF S3S+CI+HI+FO+SR+ESD Negro 36. FABRICADO EN TEXTIL S3. PUNTERA DE Fibra de vidrio. PLANTILLA Antiperforación textil. SUELA DE PU/PU DOBLE DENSIDAD</v>
      </c>
      <c r="F439" t="str">
        <f>PROPER(E439)</f>
        <v>Zapato Mf S3S+Ci+Hi+Fo+Sr+Esd Negro 36. Fabricado En Textil S3. Puntera De Fibra De Vidrio. Plantilla Antiperforación Textil. Suela De Pu/Pu Doble Densidad</v>
      </c>
      <c r="G439" s="24">
        <f>VLOOKUP(B439,Tabla1[],2,0)</f>
        <v>24.5</v>
      </c>
      <c r="H439" s="24">
        <f>+G439/0.72</f>
        <v>34.027777777777779</v>
      </c>
      <c r="I439" s="24">
        <f>+H439*1.21</f>
        <v>41.173611111111114</v>
      </c>
      <c r="J439" s="24" t="s">
        <v>2359</v>
      </c>
      <c r="K439" s="24" t="s">
        <v>2365</v>
      </c>
      <c r="L439" t="s">
        <v>1392</v>
      </c>
      <c r="M439" t="s">
        <v>1414</v>
      </c>
      <c r="N439" t="s">
        <v>1425</v>
      </c>
      <c r="O439" t="s">
        <v>1428</v>
      </c>
      <c r="P439" t="s">
        <v>1429</v>
      </c>
      <c r="Q439">
        <v>36</v>
      </c>
      <c r="R439" s="2">
        <v>8457780335167</v>
      </c>
      <c r="S439" s="3" t="s">
        <v>1040</v>
      </c>
      <c r="T439" t="s">
        <v>1370</v>
      </c>
    </row>
    <row r="440" spans="1:20" x14ac:dyDescent="0.25">
      <c r="A440" t="s">
        <v>386</v>
      </c>
      <c r="B440" t="s">
        <v>2247</v>
      </c>
      <c r="C440" t="s">
        <v>389</v>
      </c>
      <c r="D440" t="s">
        <v>1776</v>
      </c>
      <c r="E440" t="str">
        <f>+CONCATENATE(D440,". FABRICADO EN ",M440,". PUNTERA DE ",N440,". PLANTILLA ",O440,". SUELA DE ",P440)</f>
        <v>ZAPATO MF S3S+CI+HI+FO+SR+ESD Negro 37. FABRICADO EN TEXTIL S3. PUNTERA DE Fibra de vidrio. PLANTILLA Antiperforación textil. SUELA DE PU/PU DOBLE DENSIDAD</v>
      </c>
      <c r="F440" t="str">
        <f>PROPER(E440)</f>
        <v>Zapato Mf S3S+Ci+Hi+Fo+Sr+Esd Negro 37. Fabricado En Textil S3. Puntera De Fibra De Vidrio. Plantilla Antiperforación Textil. Suela De Pu/Pu Doble Densidad</v>
      </c>
      <c r="G440" s="24">
        <f>VLOOKUP(B440,Tabla1[],2,0)</f>
        <v>24.5</v>
      </c>
      <c r="H440" s="24">
        <f>+G440/0.72</f>
        <v>34.027777777777779</v>
      </c>
      <c r="I440" s="24">
        <f>+H440*1.21</f>
        <v>41.173611111111114</v>
      </c>
      <c r="J440" s="24" t="s">
        <v>2359</v>
      </c>
      <c r="K440" s="24" t="s">
        <v>2365</v>
      </c>
      <c r="L440" t="s">
        <v>1392</v>
      </c>
      <c r="M440" t="s">
        <v>1414</v>
      </c>
      <c r="N440" t="s">
        <v>1425</v>
      </c>
      <c r="O440" t="s">
        <v>1428</v>
      </c>
      <c r="P440" t="s">
        <v>1429</v>
      </c>
      <c r="Q440">
        <v>37</v>
      </c>
      <c r="R440" s="2">
        <v>8457780335174</v>
      </c>
      <c r="S440" s="3" t="s">
        <v>1041</v>
      </c>
      <c r="T440" t="s">
        <v>1370</v>
      </c>
    </row>
    <row r="441" spans="1:20" x14ac:dyDescent="0.25">
      <c r="A441" t="s">
        <v>386</v>
      </c>
      <c r="B441" t="s">
        <v>2247</v>
      </c>
      <c r="C441" t="s">
        <v>390</v>
      </c>
      <c r="D441" t="s">
        <v>1777</v>
      </c>
      <c r="E441" t="str">
        <f>+CONCATENATE(D441,". FABRICADO EN ",M441,". PUNTERA DE ",N441,". PLANTILLA ",O441,". SUELA DE ",P441)</f>
        <v>ZAPATO MF S3S+CI+HI+FO+SR+ESD Negro 38. FABRICADO EN TEXTIL S3. PUNTERA DE Fibra de vidrio. PLANTILLA Antiperforación textil. SUELA DE PU/PU DOBLE DENSIDAD</v>
      </c>
      <c r="F441" t="str">
        <f>PROPER(E441)</f>
        <v>Zapato Mf S3S+Ci+Hi+Fo+Sr+Esd Negro 38. Fabricado En Textil S3. Puntera De Fibra De Vidrio. Plantilla Antiperforación Textil. Suela De Pu/Pu Doble Densidad</v>
      </c>
      <c r="G441" s="24">
        <f>VLOOKUP(B441,Tabla1[],2,0)</f>
        <v>24.5</v>
      </c>
      <c r="H441" s="24">
        <f>+G441/0.72</f>
        <v>34.027777777777779</v>
      </c>
      <c r="I441" s="24">
        <f>+H441*1.21</f>
        <v>41.173611111111114</v>
      </c>
      <c r="J441" s="24" t="s">
        <v>2359</v>
      </c>
      <c r="K441" s="24" t="s">
        <v>2365</v>
      </c>
      <c r="L441" t="s">
        <v>1392</v>
      </c>
      <c r="M441" t="s">
        <v>1414</v>
      </c>
      <c r="N441" t="s">
        <v>1425</v>
      </c>
      <c r="O441" t="s">
        <v>1428</v>
      </c>
      <c r="P441" t="s">
        <v>1429</v>
      </c>
      <c r="Q441">
        <v>38</v>
      </c>
      <c r="R441" s="2">
        <v>8457780335181</v>
      </c>
      <c r="S441" s="3" t="s">
        <v>1042</v>
      </c>
      <c r="T441" t="s">
        <v>1370</v>
      </c>
    </row>
    <row r="442" spans="1:20" x14ac:dyDescent="0.25">
      <c r="A442" t="s">
        <v>386</v>
      </c>
      <c r="B442" t="s">
        <v>2247</v>
      </c>
      <c r="C442" t="s">
        <v>391</v>
      </c>
      <c r="D442" t="s">
        <v>1778</v>
      </c>
      <c r="E442" t="str">
        <f>+CONCATENATE(D442,". FABRICADO EN ",M442,". PUNTERA DE ",N442,". PLANTILLA ",O442,". SUELA DE ",P442)</f>
        <v>ZAPATO MF S3S+CI+HI+FO+SR+ESD Negro 39. FABRICADO EN TEXTIL S3. PUNTERA DE Fibra de vidrio. PLANTILLA Antiperforación textil. SUELA DE PU/PU DOBLE DENSIDAD</v>
      </c>
      <c r="F442" t="str">
        <f>PROPER(E442)</f>
        <v>Zapato Mf S3S+Ci+Hi+Fo+Sr+Esd Negro 39. Fabricado En Textil S3. Puntera De Fibra De Vidrio. Plantilla Antiperforación Textil. Suela De Pu/Pu Doble Densidad</v>
      </c>
      <c r="G442" s="24">
        <f>VLOOKUP(B442,Tabla1[],2,0)</f>
        <v>24.5</v>
      </c>
      <c r="H442" s="24">
        <f>+G442/0.72</f>
        <v>34.027777777777779</v>
      </c>
      <c r="I442" s="24">
        <f>+H442*1.21</f>
        <v>41.173611111111114</v>
      </c>
      <c r="J442" s="24" t="s">
        <v>2359</v>
      </c>
      <c r="K442" s="24" t="s">
        <v>2365</v>
      </c>
      <c r="L442" t="s">
        <v>1392</v>
      </c>
      <c r="M442" t="s">
        <v>1414</v>
      </c>
      <c r="N442" t="s">
        <v>1425</v>
      </c>
      <c r="O442" t="s">
        <v>1428</v>
      </c>
      <c r="P442" t="s">
        <v>1429</v>
      </c>
      <c r="Q442">
        <v>39</v>
      </c>
      <c r="R442" s="2">
        <v>8457780335198</v>
      </c>
      <c r="S442" s="3" t="s">
        <v>1043</v>
      </c>
      <c r="T442" t="s">
        <v>1370</v>
      </c>
    </row>
    <row r="443" spans="1:20" x14ac:dyDescent="0.25">
      <c r="A443" t="s">
        <v>386</v>
      </c>
      <c r="B443" t="s">
        <v>2247</v>
      </c>
      <c r="C443" t="s">
        <v>392</v>
      </c>
      <c r="D443" t="s">
        <v>1779</v>
      </c>
      <c r="E443" t="str">
        <f>+CONCATENATE(D443,". FABRICADO EN ",M443,". PUNTERA DE ",N443,". PLANTILLA ",O443,". SUELA DE ",P443)</f>
        <v>ZAPATO MF S3S+CI+HI+FO+SR+ESD Negro 40. FABRICADO EN TEXTIL S3. PUNTERA DE Fibra de vidrio. PLANTILLA Antiperforación textil. SUELA DE PU/PU DOBLE DENSIDAD</v>
      </c>
      <c r="F443" t="str">
        <f>PROPER(E443)</f>
        <v>Zapato Mf S3S+Ci+Hi+Fo+Sr+Esd Negro 40. Fabricado En Textil S3. Puntera De Fibra De Vidrio. Plantilla Antiperforación Textil. Suela De Pu/Pu Doble Densidad</v>
      </c>
      <c r="G443" s="24">
        <f>VLOOKUP(B443,Tabla1[],2,0)</f>
        <v>24.5</v>
      </c>
      <c r="H443" s="24">
        <f>+G443/0.72</f>
        <v>34.027777777777779</v>
      </c>
      <c r="I443" s="24">
        <f>+H443*1.21</f>
        <v>41.173611111111114</v>
      </c>
      <c r="J443" s="24" t="s">
        <v>2359</v>
      </c>
      <c r="K443" s="24" t="s">
        <v>2365</v>
      </c>
      <c r="L443" t="s">
        <v>1392</v>
      </c>
      <c r="M443" t="s">
        <v>1414</v>
      </c>
      <c r="N443" t="s">
        <v>1425</v>
      </c>
      <c r="O443" t="s">
        <v>1428</v>
      </c>
      <c r="P443" t="s">
        <v>1429</v>
      </c>
      <c r="Q443">
        <v>40</v>
      </c>
      <c r="R443" s="2">
        <v>8457780335204</v>
      </c>
      <c r="S443" s="3" t="s">
        <v>1044</v>
      </c>
      <c r="T443" t="s">
        <v>1370</v>
      </c>
    </row>
    <row r="444" spans="1:20" x14ac:dyDescent="0.25">
      <c r="A444" t="s">
        <v>386</v>
      </c>
      <c r="B444" t="s">
        <v>2247</v>
      </c>
      <c r="C444" t="s">
        <v>393</v>
      </c>
      <c r="D444" t="s">
        <v>1780</v>
      </c>
      <c r="E444" t="str">
        <f>+CONCATENATE(D444,". FABRICADO EN ",M444,". PUNTERA DE ",N444,". PLANTILLA ",O444,". SUELA DE ",P444)</f>
        <v>ZAPATO MF S3S+CI+HI+FO+SR+ESD Negro 41. FABRICADO EN TEXTIL S3. PUNTERA DE Fibra de vidrio. PLANTILLA Antiperforación textil. SUELA DE PU/PU DOBLE DENSIDAD</v>
      </c>
      <c r="F444" t="str">
        <f>PROPER(E444)</f>
        <v>Zapato Mf S3S+Ci+Hi+Fo+Sr+Esd Negro 41. Fabricado En Textil S3. Puntera De Fibra De Vidrio. Plantilla Antiperforación Textil. Suela De Pu/Pu Doble Densidad</v>
      </c>
      <c r="G444" s="24">
        <f>VLOOKUP(B444,Tabla1[],2,0)</f>
        <v>24.5</v>
      </c>
      <c r="H444" s="24">
        <f>+G444/0.72</f>
        <v>34.027777777777779</v>
      </c>
      <c r="I444" s="24">
        <f>+H444*1.21</f>
        <v>41.173611111111114</v>
      </c>
      <c r="J444" s="24" t="s">
        <v>2359</v>
      </c>
      <c r="K444" s="24" t="s">
        <v>2365</v>
      </c>
      <c r="L444" t="s">
        <v>1392</v>
      </c>
      <c r="M444" t="s">
        <v>1414</v>
      </c>
      <c r="N444" t="s">
        <v>1425</v>
      </c>
      <c r="O444" t="s">
        <v>1428</v>
      </c>
      <c r="P444" t="s">
        <v>1429</v>
      </c>
      <c r="Q444">
        <v>41</v>
      </c>
      <c r="R444" s="2">
        <v>8457780335211</v>
      </c>
      <c r="S444" s="3" t="s">
        <v>1045</v>
      </c>
      <c r="T444" t="s">
        <v>1370</v>
      </c>
    </row>
    <row r="445" spans="1:20" x14ac:dyDescent="0.25">
      <c r="A445" t="s">
        <v>386</v>
      </c>
      <c r="B445" t="s">
        <v>2247</v>
      </c>
      <c r="C445" t="s">
        <v>394</v>
      </c>
      <c r="D445" t="s">
        <v>1781</v>
      </c>
      <c r="E445" t="str">
        <f>+CONCATENATE(D445,". FABRICADO EN ",M445,". PUNTERA DE ",N445,". PLANTILLA ",O445,". SUELA DE ",P445)</f>
        <v>ZAPATO MF S3S+CI+HI+FO+SR+ESD Negro 42. FABRICADO EN TEXTIL S3. PUNTERA DE Fibra de vidrio. PLANTILLA Antiperforación textil. SUELA DE PU/PU DOBLE DENSIDAD</v>
      </c>
      <c r="F445" t="str">
        <f>PROPER(E445)</f>
        <v>Zapato Mf S3S+Ci+Hi+Fo+Sr+Esd Negro 42. Fabricado En Textil S3. Puntera De Fibra De Vidrio. Plantilla Antiperforación Textil. Suela De Pu/Pu Doble Densidad</v>
      </c>
      <c r="G445" s="24">
        <f>VLOOKUP(B445,Tabla1[],2,0)</f>
        <v>24.5</v>
      </c>
      <c r="H445" s="24">
        <f>+G445/0.72</f>
        <v>34.027777777777779</v>
      </c>
      <c r="I445" s="24">
        <f>+H445*1.21</f>
        <v>41.173611111111114</v>
      </c>
      <c r="J445" s="24" t="s">
        <v>2359</v>
      </c>
      <c r="K445" s="24" t="s">
        <v>2365</v>
      </c>
      <c r="L445" t="s">
        <v>1392</v>
      </c>
      <c r="M445" t="s">
        <v>1414</v>
      </c>
      <c r="N445" t="s">
        <v>1425</v>
      </c>
      <c r="O445" t="s">
        <v>1428</v>
      </c>
      <c r="P445" t="s">
        <v>1429</v>
      </c>
      <c r="Q445">
        <v>42</v>
      </c>
      <c r="R445" s="2">
        <v>8457780335228</v>
      </c>
      <c r="S445" s="3" t="s">
        <v>1046</v>
      </c>
      <c r="T445" t="s">
        <v>1370</v>
      </c>
    </row>
    <row r="446" spans="1:20" x14ac:dyDescent="0.25">
      <c r="A446" t="s">
        <v>386</v>
      </c>
      <c r="B446" t="s">
        <v>2247</v>
      </c>
      <c r="C446" t="s">
        <v>395</v>
      </c>
      <c r="D446" t="s">
        <v>1782</v>
      </c>
      <c r="E446" t="str">
        <f>+CONCATENATE(D446,". FABRICADO EN ",M446,". PUNTERA DE ",N446,". PLANTILLA ",O446,". SUELA DE ",P446)</f>
        <v>ZAPATO MF S3S+CI+HI+FO+SR+ESD Negro 43. FABRICADO EN TEXTIL S3. PUNTERA DE Fibra de vidrio. PLANTILLA Antiperforación textil. SUELA DE PU/PU DOBLE DENSIDAD</v>
      </c>
      <c r="F446" t="str">
        <f>PROPER(E446)</f>
        <v>Zapato Mf S3S+Ci+Hi+Fo+Sr+Esd Negro 43. Fabricado En Textil S3. Puntera De Fibra De Vidrio. Plantilla Antiperforación Textil. Suela De Pu/Pu Doble Densidad</v>
      </c>
      <c r="G446" s="24">
        <f>VLOOKUP(B446,Tabla1[],2,0)</f>
        <v>24.5</v>
      </c>
      <c r="H446" s="24">
        <f>+G446/0.72</f>
        <v>34.027777777777779</v>
      </c>
      <c r="I446" s="24">
        <f>+H446*1.21</f>
        <v>41.173611111111114</v>
      </c>
      <c r="J446" s="24" t="s">
        <v>2359</v>
      </c>
      <c r="K446" s="24" t="s">
        <v>2365</v>
      </c>
      <c r="L446" t="s">
        <v>1392</v>
      </c>
      <c r="M446" t="s">
        <v>1414</v>
      </c>
      <c r="N446" t="s">
        <v>1425</v>
      </c>
      <c r="O446" t="s">
        <v>1428</v>
      </c>
      <c r="P446" t="s">
        <v>1429</v>
      </c>
      <c r="Q446">
        <v>43</v>
      </c>
      <c r="R446" s="2">
        <v>8457780335235</v>
      </c>
      <c r="S446" s="3" t="s">
        <v>1047</v>
      </c>
      <c r="T446" t="s">
        <v>1370</v>
      </c>
    </row>
    <row r="447" spans="1:20" x14ac:dyDescent="0.25">
      <c r="A447" t="s">
        <v>386</v>
      </c>
      <c r="B447" t="s">
        <v>2247</v>
      </c>
      <c r="C447" t="s">
        <v>396</v>
      </c>
      <c r="D447" t="s">
        <v>1783</v>
      </c>
      <c r="E447" t="str">
        <f>+CONCATENATE(D447,". FABRICADO EN ",M447,". PUNTERA DE ",N447,". PLANTILLA ",O447,". SUELA DE ",P447)</f>
        <v>ZAPATO MF S3S+CI+HI+FO+SR+ESD Negro 44. FABRICADO EN TEXTIL S3. PUNTERA DE Fibra de vidrio. PLANTILLA Antiperforación textil. SUELA DE PU/PU DOBLE DENSIDAD</v>
      </c>
      <c r="F447" t="str">
        <f>PROPER(E447)</f>
        <v>Zapato Mf S3S+Ci+Hi+Fo+Sr+Esd Negro 44. Fabricado En Textil S3. Puntera De Fibra De Vidrio. Plantilla Antiperforación Textil. Suela De Pu/Pu Doble Densidad</v>
      </c>
      <c r="G447" s="24">
        <f>VLOOKUP(B447,Tabla1[],2,0)</f>
        <v>24.5</v>
      </c>
      <c r="H447" s="24">
        <f>+G447/0.72</f>
        <v>34.027777777777779</v>
      </c>
      <c r="I447" s="24">
        <f>+H447*1.21</f>
        <v>41.173611111111114</v>
      </c>
      <c r="J447" s="24" t="s">
        <v>2359</v>
      </c>
      <c r="K447" s="24" t="s">
        <v>2365</v>
      </c>
      <c r="L447" t="s">
        <v>1392</v>
      </c>
      <c r="M447" t="s">
        <v>1414</v>
      </c>
      <c r="N447" t="s">
        <v>1425</v>
      </c>
      <c r="O447" t="s">
        <v>1428</v>
      </c>
      <c r="P447" t="s">
        <v>1429</v>
      </c>
      <c r="Q447">
        <v>44</v>
      </c>
      <c r="R447" s="2">
        <v>8457780335242</v>
      </c>
      <c r="S447" s="3" t="s">
        <v>1048</v>
      </c>
      <c r="T447" t="s">
        <v>1370</v>
      </c>
    </row>
    <row r="448" spans="1:20" x14ac:dyDescent="0.25">
      <c r="A448" t="s">
        <v>386</v>
      </c>
      <c r="B448" t="s">
        <v>2247</v>
      </c>
      <c r="C448" t="s">
        <v>397</v>
      </c>
      <c r="D448" t="s">
        <v>1784</v>
      </c>
      <c r="E448" t="str">
        <f>+CONCATENATE(D448,". FABRICADO EN ",M448,". PUNTERA DE ",N448,". PLANTILLA ",O448,". SUELA DE ",P448)</f>
        <v>ZAPATO MF S3S+CI+HI+FO+SR+ESD Negro 45. FABRICADO EN TEXTIL S3. PUNTERA DE Fibra de vidrio. PLANTILLA Antiperforación textil. SUELA DE PU/PU DOBLE DENSIDAD</v>
      </c>
      <c r="F448" t="str">
        <f>PROPER(E448)</f>
        <v>Zapato Mf S3S+Ci+Hi+Fo+Sr+Esd Negro 45. Fabricado En Textil S3. Puntera De Fibra De Vidrio. Plantilla Antiperforación Textil. Suela De Pu/Pu Doble Densidad</v>
      </c>
      <c r="G448" s="24">
        <f>VLOOKUP(B448,Tabla1[],2,0)</f>
        <v>24.5</v>
      </c>
      <c r="H448" s="24">
        <f>+G448/0.72</f>
        <v>34.027777777777779</v>
      </c>
      <c r="I448" s="24">
        <f>+H448*1.21</f>
        <v>41.173611111111114</v>
      </c>
      <c r="J448" s="24" t="s">
        <v>2359</v>
      </c>
      <c r="K448" s="24" t="s">
        <v>2365</v>
      </c>
      <c r="L448" t="s">
        <v>1392</v>
      </c>
      <c r="M448" t="s">
        <v>1414</v>
      </c>
      <c r="N448" t="s">
        <v>1425</v>
      </c>
      <c r="O448" t="s">
        <v>1428</v>
      </c>
      <c r="P448" t="s">
        <v>1429</v>
      </c>
      <c r="Q448">
        <v>45</v>
      </c>
      <c r="R448" s="2">
        <v>8457780335259</v>
      </c>
      <c r="S448" s="3" t="s">
        <v>1049</v>
      </c>
      <c r="T448" t="s">
        <v>1370</v>
      </c>
    </row>
    <row r="449" spans="1:21" x14ac:dyDescent="0.25">
      <c r="A449" t="s">
        <v>386</v>
      </c>
      <c r="B449" t="s">
        <v>2247</v>
      </c>
      <c r="C449" t="s">
        <v>398</v>
      </c>
      <c r="D449" t="s">
        <v>1785</v>
      </c>
      <c r="E449" t="str">
        <f>+CONCATENATE(D449,". FABRICADO EN ",M449,". PUNTERA DE ",N449,". PLANTILLA ",O449,". SUELA DE ",P449)</f>
        <v>ZAPATO MF S3S+CI+HI+FO+SR+ESD Negro 46. FABRICADO EN TEXTIL S3. PUNTERA DE Fibra de vidrio. PLANTILLA Antiperforación textil. SUELA DE PU/PU DOBLE DENSIDAD</v>
      </c>
      <c r="F449" t="str">
        <f>PROPER(E449)</f>
        <v>Zapato Mf S3S+Ci+Hi+Fo+Sr+Esd Negro 46. Fabricado En Textil S3. Puntera De Fibra De Vidrio. Plantilla Antiperforación Textil. Suela De Pu/Pu Doble Densidad</v>
      </c>
      <c r="G449" s="24">
        <f>VLOOKUP(B449,Tabla1[],2,0)</f>
        <v>24.5</v>
      </c>
      <c r="H449" s="24">
        <f>+G449/0.72</f>
        <v>34.027777777777779</v>
      </c>
      <c r="I449" s="24">
        <f>+H449*1.21</f>
        <v>41.173611111111114</v>
      </c>
      <c r="J449" s="24" t="s">
        <v>2359</v>
      </c>
      <c r="K449" s="24" t="s">
        <v>2365</v>
      </c>
      <c r="L449" t="s">
        <v>1392</v>
      </c>
      <c r="M449" t="s">
        <v>1414</v>
      </c>
      <c r="N449" t="s">
        <v>1425</v>
      </c>
      <c r="O449" t="s">
        <v>1428</v>
      </c>
      <c r="P449" t="s">
        <v>1429</v>
      </c>
      <c r="Q449">
        <v>46</v>
      </c>
      <c r="R449" s="2">
        <v>8457780335266</v>
      </c>
      <c r="S449" s="3" t="s">
        <v>1050</v>
      </c>
      <c r="T449" t="s">
        <v>1370</v>
      </c>
    </row>
    <row r="450" spans="1:21" x14ac:dyDescent="0.25">
      <c r="A450" t="s">
        <v>386</v>
      </c>
      <c r="B450" t="s">
        <v>2247</v>
      </c>
      <c r="C450" t="s">
        <v>399</v>
      </c>
      <c r="D450" t="s">
        <v>1786</v>
      </c>
      <c r="E450" t="str">
        <f>+CONCATENATE(D450,". FABRICADO EN ",M450,". PUNTERA DE ",N450,". PLANTILLA ",O450,". SUELA DE ",P450)</f>
        <v>ZAPATO MF S3S+CI+HI+FO+SR+ESD Negro 47. FABRICADO EN TEXTIL S3. PUNTERA DE Fibra de vidrio. PLANTILLA Antiperforación textil. SUELA DE PU/PU DOBLE DENSIDAD</v>
      </c>
      <c r="F450" t="str">
        <f>PROPER(E450)</f>
        <v>Zapato Mf S3S+Ci+Hi+Fo+Sr+Esd Negro 47. Fabricado En Textil S3. Puntera De Fibra De Vidrio. Plantilla Antiperforación Textil. Suela De Pu/Pu Doble Densidad</v>
      </c>
      <c r="G450" s="24">
        <f>VLOOKUP(B450,Tabla1[],2,0)</f>
        <v>24.5</v>
      </c>
      <c r="H450" s="24">
        <f>+G450/0.72</f>
        <v>34.027777777777779</v>
      </c>
      <c r="I450" s="24">
        <f>+H450*1.21</f>
        <v>41.173611111111114</v>
      </c>
      <c r="J450" s="24" t="s">
        <v>2359</v>
      </c>
      <c r="K450" s="24" t="s">
        <v>2365</v>
      </c>
      <c r="L450" t="s">
        <v>1392</v>
      </c>
      <c r="M450" t="s">
        <v>1414</v>
      </c>
      <c r="N450" t="s">
        <v>1425</v>
      </c>
      <c r="O450" t="s">
        <v>1428</v>
      </c>
      <c r="P450" t="s">
        <v>1429</v>
      </c>
      <c r="Q450">
        <v>47</v>
      </c>
      <c r="R450" s="2">
        <v>8457780335273</v>
      </c>
      <c r="S450" s="3" t="s">
        <v>1051</v>
      </c>
      <c r="T450" t="s">
        <v>1370</v>
      </c>
    </row>
    <row r="451" spans="1:21" x14ac:dyDescent="0.25">
      <c r="A451" t="s">
        <v>386</v>
      </c>
      <c r="B451" t="s">
        <v>2247</v>
      </c>
      <c r="C451" t="s">
        <v>400</v>
      </c>
      <c r="D451" t="s">
        <v>1787</v>
      </c>
      <c r="E451" t="str">
        <f>+CONCATENATE(D451,". FABRICADO EN ",M451,". PUNTERA DE ",N451,". PLANTILLA ",O451,". SUELA DE ",P451)</f>
        <v>ZAPATO MF S3S+CI+HI+FO+SR+ESD Negro 48. FABRICADO EN TEXTIL S3. PUNTERA DE Fibra de vidrio. PLANTILLA Antiperforación textil. SUELA DE PU/PU DOBLE DENSIDAD</v>
      </c>
      <c r="F451" t="str">
        <f>PROPER(E451)</f>
        <v>Zapato Mf S3S+Ci+Hi+Fo+Sr+Esd Negro 48. Fabricado En Textil S3. Puntera De Fibra De Vidrio. Plantilla Antiperforación Textil. Suela De Pu/Pu Doble Densidad</v>
      </c>
      <c r="G451" s="24">
        <f>VLOOKUP(B451,Tabla1[],2,0)</f>
        <v>24.5</v>
      </c>
      <c r="H451" s="24">
        <f>+G451/0.72</f>
        <v>34.027777777777779</v>
      </c>
      <c r="I451" s="24">
        <f>+H451*1.21</f>
        <v>41.173611111111114</v>
      </c>
      <c r="J451" s="24" t="s">
        <v>2359</v>
      </c>
      <c r="K451" s="24" t="s">
        <v>2365</v>
      </c>
      <c r="L451" t="s">
        <v>1392</v>
      </c>
      <c r="M451" t="s">
        <v>1414</v>
      </c>
      <c r="N451" t="s">
        <v>1425</v>
      </c>
      <c r="O451" t="s">
        <v>1428</v>
      </c>
      <c r="P451" t="s">
        <v>1429</v>
      </c>
      <c r="Q451">
        <v>48</v>
      </c>
      <c r="R451" s="2">
        <v>8457780335280</v>
      </c>
      <c r="S451" s="3" t="s">
        <v>1052</v>
      </c>
      <c r="T451" t="s">
        <v>1370</v>
      </c>
    </row>
    <row r="452" spans="1:21" x14ac:dyDescent="0.25">
      <c r="A452" t="s">
        <v>386</v>
      </c>
      <c r="B452" t="s">
        <v>2247</v>
      </c>
      <c r="C452" t="s">
        <v>401</v>
      </c>
      <c r="D452" t="s">
        <v>1788</v>
      </c>
      <c r="E452" t="str">
        <f>+CONCATENATE(D452,". FABRICADO EN ",M452,". PUNTERA DE ",N452,". PLANTILLA ",O452,". SUELA DE ",P452)</f>
        <v>ZAPATO MF S3S+CI+HI+FO+SR+ESD Negro 49. FABRICADO EN TEXTIL S3. PUNTERA DE Fibra de vidrio. PLANTILLA Antiperforación textil. SUELA DE PU/PU DOBLE DENSIDAD</v>
      </c>
      <c r="F452" t="str">
        <f>PROPER(E452)</f>
        <v>Zapato Mf S3S+Ci+Hi+Fo+Sr+Esd Negro 49. Fabricado En Textil S3. Puntera De Fibra De Vidrio. Plantilla Antiperforación Textil. Suela De Pu/Pu Doble Densidad</v>
      </c>
      <c r="G452" s="24">
        <f>VLOOKUP(B452,Tabla1[],2,0)</f>
        <v>24.5</v>
      </c>
      <c r="H452" s="24">
        <f>+G452/0.72</f>
        <v>34.027777777777779</v>
      </c>
      <c r="I452" s="24">
        <f>+H452*1.21</f>
        <v>41.173611111111114</v>
      </c>
      <c r="J452" s="24" t="s">
        <v>2359</v>
      </c>
      <c r="K452" s="24" t="s">
        <v>2365</v>
      </c>
      <c r="L452" t="s">
        <v>1392</v>
      </c>
      <c r="M452" t="s">
        <v>1414</v>
      </c>
      <c r="N452" t="s">
        <v>1425</v>
      </c>
      <c r="O452" t="s">
        <v>1428</v>
      </c>
      <c r="P452" t="s">
        <v>1429</v>
      </c>
      <c r="Q452">
        <v>49</v>
      </c>
      <c r="R452" s="2">
        <v>8457780335297</v>
      </c>
      <c r="S452" s="3" t="s">
        <v>1053</v>
      </c>
      <c r="T452" t="s">
        <v>1370</v>
      </c>
    </row>
    <row r="453" spans="1:21" x14ac:dyDescent="0.25">
      <c r="A453" t="s">
        <v>386</v>
      </c>
      <c r="B453" t="s">
        <v>2247</v>
      </c>
      <c r="C453" t="s">
        <v>402</v>
      </c>
      <c r="D453" t="s">
        <v>1789</v>
      </c>
      <c r="E453" t="str">
        <f>+CONCATENATE(D453,". FABRICADO EN ",M453,". PUNTERA DE ",N453,". PLANTILLA ",O453,". SUELA DE ",P453)</f>
        <v>ZAPATO MF S3S+CI+HI+FO+SR+ESD Negro 50. FABRICADO EN TEXTIL S3. PUNTERA DE Fibra de vidrio. PLANTILLA Antiperforación textil. SUELA DE PU/PU DOBLE DENSIDAD</v>
      </c>
      <c r="F453" t="str">
        <f>PROPER(E453)</f>
        <v>Zapato Mf S3S+Ci+Hi+Fo+Sr+Esd Negro 50. Fabricado En Textil S3. Puntera De Fibra De Vidrio. Plantilla Antiperforación Textil. Suela De Pu/Pu Doble Densidad</v>
      </c>
      <c r="G453" s="24">
        <f>VLOOKUP(B453,Tabla1[],2,0)</f>
        <v>24.5</v>
      </c>
      <c r="H453" s="24">
        <f>+G453/0.72</f>
        <v>34.027777777777779</v>
      </c>
      <c r="I453" s="24">
        <f>+H453*1.21</f>
        <v>41.173611111111114</v>
      </c>
      <c r="J453" s="24" t="s">
        <v>2359</v>
      </c>
      <c r="K453" s="24" t="s">
        <v>2365</v>
      </c>
      <c r="L453" t="s">
        <v>1392</v>
      </c>
      <c r="M453" t="s">
        <v>1414</v>
      </c>
      <c r="N453" t="s">
        <v>1425</v>
      </c>
      <c r="O453" t="s">
        <v>1428</v>
      </c>
      <c r="P453" t="s">
        <v>1429</v>
      </c>
      <c r="Q453">
        <v>50</v>
      </c>
      <c r="R453" s="2">
        <v>8457780335303</v>
      </c>
      <c r="S453" s="3" t="s">
        <v>1054</v>
      </c>
      <c r="T453" t="s">
        <v>1370</v>
      </c>
    </row>
    <row r="454" spans="1:21" x14ac:dyDescent="0.25">
      <c r="A454" t="s">
        <v>403</v>
      </c>
      <c r="B454" t="s">
        <v>2248</v>
      </c>
      <c r="C454" t="s">
        <v>404</v>
      </c>
      <c r="D454" t="s">
        <v>1432</v>
      </c>
      <c r="E454" t="str">
        <f>+CONCATENATE(D454,". FABRICADO EN ",M454,". PUNTERA DE ",N454,". PLANTILLA ",O454,". SUELA DE ",P454)</f>
        <v>BOTA MF S3+CI+SRC+ESD Negro 35. FABRICADO EN MICROFIBRA ACABADO PIEL FULL GRAIN . PUNTERA DE Fibra de vidrio. PLANTILLA Antiperforación textil. SUELA DE PU/PU DOBLE DENSIDAD</v>
      </c>
      <c r="F454" t="str">
        <f>PROPER(E454)</f>
        <v>Bota Mf S3+Ci+Src+Esd Negro 35. Fabricado En Microfibra Acabado Piel Full Grain . Puntera De Fibra De Vidrio. Plantilla Antiperforación Textil. Suela De Pu/Pu Doble Densidad</v>
      </c>
      <c r="G454" s="24">
        <f>VLOOKUP(B454,Tabla1[],2,0)</f>
        <v>22.5</v>
      </c>
      <c r="H454" s="24">
        <f>+G454/0.72</f>
        <v>31.25</v>
      </c>
      <c r="I454" s="24">
        <f>+H454*1.21</f>
        <v>37.8125</v>
      </c>
      <c r="J454" s="24" t="s">
        <v>2326</v>
      </c>
      <c r="K454" s="24" t="s">
        <v>2365</v>
      </c>
      <c r="L454" t="s">
        <v>1392</v>
      </c>
      <c r="M454" t="s">
        <v>1416</v>
      </c>
      <c r="N454" t="s">
        <v>1425</v>
      </c>
      <c r="O454" t="s">
        <v>1428</v>
      </c>
      <c r="P454" t="s">
        <v>1429</v>
      </c>
      <c r="Q454">
        <v>35</v>
      </c>
      <c r="R454" s="2">
        <v>8457780304026</v>
      </c>
      <c r="S454" s="3" t="s">
        <v>1055</v>
      </c>
      <c r="T454" t="s">
        <v>1329</v>
      </c>
      <c r="U454" t="s">
        <v>1330</v>
      </c>
    </row>
    <row r="455" spans="1:21" x14ac:dyDescent="0.25">
      <c r="A455" t="s">
        <v>403</v>
      </c>
      <c r="B455" t="s">
        <v>2248</v>
      </c>
      <c r="C455" t="s">
        <v>405</v>
      </c>
      <c r="D455" t="s">
        <v>1433</v>
      </c>
      <c r="E455" t="str">
        <f>+CONCATENATE(D455,". FABRICADO EN ",M455,". PUNTERA DE ",N455,". PLANTILLA ",O455,". SUELA DE ",P455)</f>
        <v>BOTA MF S3+CI+SRC+ESD Negro 36. FABRICADO EN MICROFIBRA ACABADO PIEL FULL GRAIN . PUNTERA DE Fibra de vidrio. PLANTILLA Antiperforación textil. SUELA DE PU/PU DOBLE DENSIDAD</v>
      </c>
      <c r="F455" t="str">
        <f>PROPER(E455)</f>
        <v>Bota Mf S3+Ci+Src+Esd Negro 36. Fabricado En Microfibra Acabado Piel Full Grain . Puntera De Fibra De Vidrio. Plantilla Antiperforación Textil. Suela De Pu/Pu Doble Densidad</v>
      </c>
      <c r="G455" s="24">
        <f>VLOOKUP(B455,Tabla1[],2,0)</f>
        <v>22.5</v>
      </c>
      <c r="H455" s="24">
        <f>+G455/0.72</f>
        <v>31.25</v>
      </c>
      <c r="I455" s="24">
        <f>+H455*1.21</f>
        <v>37.8125</v>
      </c>
      <c r="J455" s="24" t="s">
        <v>2326</v>
      </c>
      <c r="K455" s="24" t="s">
        <v>2365</v>
      </c>
      <c r="L455" t="s">
        <v>1392</v>
      </c>
      <c r="M455" t="s">
        <v>1416</v>
      </c>
      <c r="N455" t="s">
        <v>1425</v>
      </c>
      <c r="O455" t="s">
        <v>1428</v>
      </c>
      <c r="P455" t="s">
        <v>1429</v>
      </c>
      <c r="Q455">
        <v>36</v>
      </c>
      <c r="R455" s="2">
        <v>8457780268724</v>
      </c>
      <c r="S455" s="3" t="s">
        <v>1056</v>
      </c>
      <c r="T455" t="s">
        <v>1329</v>
      </c>
      <c r="U455" t="s">
        <v>1330</v>
      </c>
    </row>
    <row r="456" spans="1:21" x14ac:dyDescent="0.25">
      <c r="A456" t="s">
        <v>403</v>
      </c>
      <c r="B456" t="s">
        <v>2248</v>
      </c>
      <c r="C456" t="s">
        <v>406</v>
      </c>
      <c r="D456" t="s">
        <v>1434</v>
      </c>
      <c r="E456" t="str">
        <f>+CONCATENATE(D456,". FABRICADO EN ",M456,". PUNTERA DE ",N456,". PLANTILLA ",O456,". SUELA DE ",P456)</f>
        <v>BOTA MF S3+CI+SRC+ESD Negro 37. FABRICADO EN MICROFIBRA ACABADO PIEL FULL GRAIN . PUNTERA DE Fibra de vidrio. PLANTILLA Antiperforación textil. SUELA DE PU/PU DOBLE DENSIDAD</v>
      </c>
      <c r="F456" t="str">
        <f>PROPER(E456)</f>
        <v>Bota Mf S3+Ci+Src+Esd Negro 37. Fabricado En Microfibra Acabado Piel Full Grain . Puntera De Fibra De Vidrio. Plantilla Antiperforación Textil. Suela De Pu/Pu Doble Densidad</v>
      </c>
      <c r="G456" s="24">
        <f>VLOOKUP(B456,Tabla1[],2,0)</f>
        <v>22.5</v>
      </c>
      <c r="H456" s="24">
        <f>+G456/0.72</f>
        <v>31.25</v>
      </c>
      <c r="I456" s="24">
        <f>+H456*1.21</f>
        <v>37.8125</v>
      </c>
      <c r="J456" s="24" t="s">
        <v>2326</v>
      </c>
      <c r="K456" s="24" t="s">
        <v>2365</v>
      </c>
      <c r="L456" t="s">
        <v>1392</v>
      </c>
      <c r="M456" t="s">
        <v>1416</v>
      </c>
      <c r="N456" t="s">
        <v>1425</v>
      </c>
      <c r="O456" t="s">
        <v>1428</v>
      </c>
      <c r="P456" t="s">
        <v>1429</v>
      </c>
      <c r="Q456">
        <v>37</v>
      </c>
      <c r="R456" s="2">
        <v>8457780268731</v>
      </c>
      <c r="S456" s="3" t="s">
        <v>1057</v>
      </c>
      <c r="T456" t="s">
        <v>1329</v>
      </c>
      <c r="U456" t="s">
        <v>1330</v>
      </c>
    </row>
    <row r="457" spans="1:21" x14ac:dyDescent="0.25">
      <c r="A457" t="s">
        <v>403</v>
      </c>
      <c r="B457" t="s">
        <v>2248</v>
      </c>
      <c r="C457" t="s">
        <v>407</v>
      </c>
      <c r="D457" t="s">
        <v>1435</v>
      </c>
      <c r="E457" t="str">
        <f>+CONCATENATE(D457,". FABRICADO EN ",M457,". PUNTERA DE ",N457,". PLANTILLA ",O457,". SUELA DE ",P457)</f>
        <v>BOTA MF S3+CI+SRC+ESD Negro 38. FABRICADO EN MICROFIBRA ACABADO PIEL FULL GRAIN . PUNTERA DE Fibra de vidrio. PLANTILLA Antiperforación textil. SUELA DE PU/PU DOBLE DENSIDAD</v>
      </c>
      <c r="F457" t="str">
        <f>PROPER(E457)</f>
        <v>Bota Mf S3+Ci+Src+Esd Negro 38. Fabricado En Microfibra Acabado Piel Full Grain . Puntera De Fibra De Vidrio. Plantilla Antiperforación Textil. Suela De Pu/Pu Doble Densidad</v>
      </c>
      <c r="G457" s="24">
        <f>VLOOKUP(B457,Tabla1[],2,0)</f>
        <v>22.5</v>
      </c>
      <c r="H457" s="24">
        <f>+G457/0.72</f>
        <v>31.25</v>
      </c>
      <c r="I457" s="24">
        <f>+H457*1.21</f>
        <v>37.8125</v>
      </c>
      <c r="J457" s="24" t="s">
        <v>2326</v>
      </c>
      <c r="K457" s="24" t="s">
        <v>2365</v>
      </c>
      <c r="L457" t="s">
        <v>1392</v>
      </c>
      <c r="M457" t="s">
        <v>1416</v>
      </c>
      <c r="N457" t="s">
        <v>1425</v>
      </c>
      <c r="O457" t="s">
        <v>1428</v>
      </c>
      <c r="P457" t="s">
        <v>1429</v>
      </c>
      <c r="Q457">
        <v>38</v>
      </c>
      <c r="R457" s="2">
        <v>8457780268748</v>
      </c>
      <c r="S457" s="3" t="s">
        <v>1058</v>
      </c>
      <c r="T457" t="s">
        <v>1329</v>
      </c>
      <c r="U457" t="s">
        <v>1330</v>
      </c>
    </row>
    <row r="458" spans="1:21" x14ac:dyDescent="0.25">
      <c r="A458" t="s">
        <v>403</v>
      </c>
      <c r="B458" t="s">
        <v>2248</v>
      </c>
      <c r="C458" t="s">
        <v>408</v>
      </c>
      <c r="D458" t="s">
        <v>1436</v>
      </c>
      <c r="E458" t="str">
        <f>+CONCATENATE(D458,". FABRICADO EN ",M458,". PUNTERA DE ",N458,". PLANTILLA ",O458,". SUELA DE ",P458)</f>
        <v>BOTA MF S3+CI+SRC+ESD Negro 39. FABRICADO EN MICROFIBRA ACABADO PIEL FULL GRAIN . PUNTERA DE Fibra de vidrio. PLANTILLA Antiperforación textil. SUELA DE PU/PU DOBLE DENSIDAD</v>
      </c>
      <c r="F458" t="str">
        <f>PROPER(E458)</f>
        <v>Bota Mf S3+Ci+Src+Esd Negro 39. Fabricado En Microfibra Acabado Piel Full Grain . Puntera De Fibra De Vidrio. Plantilla Antiperforación Textil. Suela De Pu/Pu Doble Densidad</v>
      </c>
      <c r="G458" s="24">
        <f>VLOOKUP(B458,Tabla1[],2,0)</f>
        <v>22.5</v>
      </c>
      <c r="H458" s="24">
        <f>+G458/0.72</f>
        <v>31.25</v>
      </c>
      <c r="I458" s="24">
        <f>+H458*1.21</f>
        <v>37.8125</v>
      </c>
      <c r="J458" s="24" t="s">
        <v>2326</v>
      </c>
      <c r="K458" s="24" t="s">
        <v>2365</v>
      </c>
      <c r="L458" t="s">
        <v>1392</v>
      </c>
      <c r="M458" t="s">
        <v>1416</v>
      </c>
      <c r="N458" t="s">
        <v>1425</v>
      </c>
      <c r="O458" t="s">
        <v>1428</v>
      </c>
      <c r="P458" t="s">
        <v>1429</v>
      </c>
      <c r="Q458">
        <v>39</v>
      </c>
      <c r="R458" s="2">
        <v>8457780268755</v>
      </c>
      <c r="S458" s="3" t="s">
        <v>1059</v>
      </c>
      <c r="T458" t="s">
        <v>1329</v>
      </c>
      <c r="U458" t="s">
        <v>1330</v>
      </c>
    </row>
    <row r="459" spans="1:21" x14ac:dyDescent="0.25">
      <c r="A459" t="s">
        <v>403</v>
      </c>
      <c r="B459" t="s">
        <v>2248</v>
      </c>
      <c r="C459" t="s">
        <v>409</v>
      </c>
      <c r="D459" t="s">
        <v>1437</v>
      </c>
      <c r="E459" t="str">
        <f>+CONCATENATE(D459,". FABRICADO EN ",M459,". PUNTERA DE ",N459,". PLANTILLA ",O459,". SUELA DE ",P459)</f>
        <v>BOTA MF S3+CI+SRC+ESD Negro 40. FABRICADO EN MICROFIBRA ACABADO PIEL FULL GRAIN . PUNTERA DE Fibra de vidrio. PLANTILLA Antiperforación textil. SUELA DE PU/PU DOBLE DENSIDAD</v>
      </c>
      <c r="F459" t="str">
        <f>PROPER(E459)</f>
        <v>Bota Mf S3+Ci+Src+Esd Negro 40. Fabricado En Microfibra Acabado Piel Full Grain . Puntera De Fibra De Vidrio. Plantilla Antiperforación Textil. Suela De Pu/Pu Doble Densidad</v>
      </c>
      <c r="G459" s="24">
        <f>VLOOKUP(B459,Tabla1[],2,0)</f>
        <v>22.5</v>
      </c>
      <c r="H459" s="24">
        <f>+G459/0.72</f>
        <v>31.25</v>
      </c>
      <c r="I459" s="24">
        <f>+H459*1.21</f>
        <v>37.8125</v>
      </c>
      <c r="J459" s="24" t="s">
        <v>2326</v>
      </c>
      <c r="K459" s="24" t="s">
        <v>2365</v>
      </c>
      <c r="L459" t="s">
        <v>1392</v>
      </c>
      <c r="M459" t="s">
        <v>1416</v>
      </c>
      <c r="N459" t="s">
        <v>1425</v>
      </c>
      <c r="O459" t="s">
        <v>1428</v>
      </c>
      <c r="P459" t="s">
        <v>1429</v>
      </c>
      <c r="Q459">
        <v>40</v>
      </c>
      <c r="R459" s="2">
        <v>8457780268762</v>
      </c>
      <c r="S459" s="3" t="s">
        <v>1060</v>
      </c>
      <c r="T459" t="s">
        <v>1329</v>
      </c>
      <c r="U459" t="s">
        <v>1330</v>
      </c>
    </row>
    <row r="460" spans="1:21" x14ac:dyDescent="0.25">
      <c r="A460" t="s">
        <v>403</v>
      </c>
      <c r="B460" t="s">
        <v>2248</v>
      </c>
      <c r="C460" t="s">
        <v>410</v>
      </c>
      <c r="D460" t="s">
        <v>1438</v>
      </c>
      <c r="E460" t="str">
        <f>+CONCATENATE(D460,". FABRICADO EN ",M460,". PUNTERA DE ",N460,". PLANTILLA ",O460,". SUELA DE ",P460)</f>
        <v>BOTA MF S3+CI+SRC+ESD Negro 41. FABRICADO EN MICROFIBRA ACABADO PIEL FULL GRAIN . PUNTERA DE Fibra de vidrio. PLANTILLA Antiperforación textil. SUELA DE PU/PU DOBLE DENSIDAD</v>
      </c>
      <c r="F460" t="str">
        <f>PROPER(E460)</f>
        <v>Bota Mf S3+Ci+Src+Esd Negro 41. Fabricado En Microfibra Acabado Piel Full Grain . Puntera De Fibra De Vidrio. Plantilla Antiperforación Textil. Suela De Pu/Pu Doble Densidad</v>
      </c>
      <c r="G460" s="24">
        <f>VLOOKUP(B460,Tabla1[],2,0)</f>
        <v>22.5</v>
      </c>
      <c r="H460" s="24">
        <f>+G460/0.72</f>
        <v>31.25</v>
      </c>
      <c r="I460" s="24">
        <f>+H460*1.21</f>
        <v>37.8125</v>
      </c>
      <c r="J460" s="24" t="s">
        <v>2326</v>
      </c>
      <c r="K460" s="24" t="s">
        <v>2365</v>
      </c>
      <c r="L460" t="s">
        <v>1392</v>
      </c>
      <c r="M460" t="s">
        <v>1416</v>
      </c>
      <c r="N460" t="s">
        <v>1425</v>
      </c>
      <c r="O460" t="s">
        <v>1428</v>
      </c>
      <c r="P460" t="s">
        <v>1429</v>
      </c>
      <c r="Q460">
        <v>41</v>
      </c>
      <c r="R460" s="2">
        <v>8457780268779</v>
      </c>
      <c r="S460" s="3" t="s">
        <v>1061</v>
      </c>
      <c r="T460" t="s">
        <v>1329</v>
      </c>
      <c r="U460" t="s">
        <v>1330</v>
      </c>
    </row>
    <row r="461" spans="1:21" x14ac:dyDescent="0.25">
      <c r="A461" t="s">
        <v>403</v>
      </c>
      <c r="B461" t="s">
        <v>2248</v>
      </c>
      <c r="C461" t="s">
        <v>411</v>
      </c>
      <c r="D461" t="s">
        <v>1439</v>
      </c>
      <c r="E461" t="str">
        <f>+CONCATENATE(D461,". FABRICADO EN ",M461,". PUNTERA DE ",N461,". PLANTILLA ",O461,". SUELA DE ",P461)</f>
        <v>BOTA MF S3+CI+SRC+ESD Negro 42. FABRICADO EN MICROFIBRA ACABADO PIEL FULL GRAIN . PUNTERA DE Fibra de vidrio. PLANTILLA Antiperforación textil. SUELA DE PU/PU DOBLE DENSIDAD</v>
      </c>
      <c r="F461" t="str">
        <f>PROPER(E461)</f>
        <v>Bota Mf S3+Ci+Src+Esd Negro 42. Fabricado En Microfibra Acabado Piel Full Grain . Puntera De Fibra De Vidrio. Plantilla Antiperforación Textil. Suela De Pu/Pu Doble Densidad</v>
      </c>
      <c r="G461" s="24">
        <f>VLOOKUP(B461,Tabla1[],2,0)</f>
        <v>22.5</v>
      </c>
      <c r="H461" s="24">
        <f>+G461/0.72</f>
        <v>31.25</v>
      </c>
      <c r="I461" s="24">
        <f>+H461*1.21</f>
        <v>37.8125</v>
      </c>
      <c r="J461" s="24" t="s">
        <v>2326</v>
      </c>
      <c r="K461" s="24" t="s">
        <v>2365</v>
      </c>
      <c r="L461" t="s">
        <v>1392</v>
      </c>
      <c r="M461" t="s">
        <v>1416</v>
      </c>
      <c r="N461" t="s">
        <v>1425</v>
      </c>
      <c r="O461" t="s">
        <v>1428</v>
      </c>
      <c r="P461" t="s">
        <v>1429</v>
      </c>
      <c r="Q461">
        <v>42</v>
      </c>
      <c r="R461" s="2">
        <v>8457780268786</v>
      </c>
      <c r="S461" s="3" t="s">
        <v>1062</v>
      </c>
      <c r="T461" t="s">
        <v>1329</v>
      </c>
      <c r="U461" t="s">
        <v>1330</v>
      </c>
    </row>
    <row r="462" spans="1:21" x14ac:dyDescent="0.25">
      <c r="A462" t="s">
        <v>403</v>
      </c>
      <c r="B462" t="s">
        <v>2248</v>
      </c>
      <c r="C462" t="s">
        <v>412</v>
      </c>
      <c r="D462" t="s">
        <v>1440</v>
      </c>
      <c r="E462" t="str">
        <f>+CONCATENATE(D462,". FABRICADO EN ",M462,". PUNTERA DE ",N462,". PLANTILLA ",O462,". SUELA DE ",P462)</f>
        <v>BOTA MF S3+CI+SRC+ESD Negro 43. FABRICADO EN MICROFIBRA ACABADO PIEL FULL GRAIN . PUNTERA DE Fibra de vidrio. PLANTILLA Antiperforación textil. SUELA DE PU/PU DOBLE DENSIDAD</v>
      </c>
      <c r="F462" t="str">
        <f>PROPER(E462)</f>
        <v>Bota Mf S3+Ci+Src+Esd Negro 43. Fabricado En Microfibra Acabado Piel Full Grain . Puntera De Fibra De Vidrio. Plantilla Antiperforación Textil. Suela De Pu/Pu Doble Densidad</v>
      </c>
      <c r="G462" s="24">
        <f>VLOOKUP(B462,Tabla1[],2,0)</f>
        <v>22.5</v>
      </c>
      <c r="H462" s="24">
        <f>+G462/0.72</f>
        <v>31.25</v>
      </c>
      <c r="I462" s="24">
        <f>+H462*1.21</f>
        <v>37.8125</v>
      </c>
      <c r="J462" s="24" t="s">
        <v>2326</v>
      </c>
      <c r="K462" s="24" t="s">
        <v>2365</v>
      </c>
      <c r="L462" t="s">
        <v>1392</v>
      </c>
      <c r="M462" t="s">
        <v>1416</v>
      </c>
      <c r="N462" t="s">
        <v>1425</v>
      </c>
      <c r="O462" t="s">
        <v>1428</v>
      </c>
      <c r="P462" t="s">
        <v>1429</v>
      </c>
      <c r="Q462">
        <v>43</v>
      </c>
      <c r="R462" s="2">
        <v>8457780268793</v>
      </c>
      <c r="S462" s="3" t="s">
        <v>1063</v>
      </c>
      <c r="T462" t="s">
        <v>1329</v>
      </c>
      <c r="U462" t="s">
        <v>1330</v>
      </c>
    </row>
    <row r="463" spans="1:21" x14ac:dyDescent="0.25">
      <c r="A463" t="s">
        <v>403</v>
      </c>
      <c r="B463" t="s">
        <v>2248</v>
      </c>
      <c r="C463" t="s">
        <v>413</v>
      </c>
      <c r="D463" t="s">
        <v>1441</v>
      </c>
      <c r="E463" t="str">
        <f>+CONCATENATE(D463,". FABRICADO EN ",M463,". PUNTERA DE ",N463,". PLANTILLA ",O463,". SUELA DE ",P463)</f>
        <v>BOTA MF S3+CI+SRC+ESD Negro 44. FABRICADO EN MICROFIBRA ACABADO PIEL FULL GRAIN . PUNTERA DE Fibra de vidrio. PLANTILLA Antiperforación textil. SUELA DE PU/PU DOBLE DENSIDAD</v>
      </c>
      <c r="F463" t="str">
        <f>PROPER(E463)</f>
        <v>Bota Mf S3+Ci+Src+Esd Negro 44. Fabricado En Microfibra Acabado Piel Full Grain . Puntera De Fibra De Vidrio. Plantilla Antiperforación Textil. Suela De Pu/Pu Doble Densidad</v>
      </c>
      <c r="G463" s="24">
        <f>VLOOKUP(B463,Tabla1[],2,0)</f>
        <v>22.5</v>
      </c>
      <c r="H463" s="24">
        <f>+G463/0.72</f>
        <v>31.25</v>
      </c>
      <c r="I463" s="24">
        <f>+H463*1.21</f>
        <v>37.8125</v>
      </c>
      <c r="J463" s="24" t="s">
        <v>2326</v>
      </c>
      <c r="K463" s="24" t="s">
        <v>2365</v>
      </c>
      <c r="L463" t="s">
        <v>1392</v>
      </c>
      <c r="M463" t="s">
        <v>1416</v>
      </c>
      <c r="N463" t="s">
        <v>1425</v>
      </c>
      <c r="O463" t="s">
        <v>1428</v>
      </c>
      <c r="P463" t="s">
        <v>1429</v>
      </c>
      <c r="Q463">
        <v>44</v>
      </c>
      <c r="R463" s="2">
        <v>8457780268809</v>
      </c>
      <c r="S463" s="3" t="s">
        <v>1064</v>
      </c>
      <c r="T463" t="s">
        <v>1329</v>
      </c>
      <c r="U463" t="s">
        <v>1330</v>
      </c>
    </row>
    <row r="464" spans="1:21" x14ac:dyDescent="0.25">
      <c r="A464" t="s">
        <v>403</v>
      </c>
      <c r="B464" t="s">
        <v>2248</v>
      </c>
      <c r="C464" t="s">
        <v>414</v>
      </c>
      <c r="D464" t="s">
        <v>1442</v>
      </c>
      <c r="E464" t="str">
        <f>+CONCATENATE(D464,". FABRICADO EN ",M464,". PUNTERA DE ",N464,". PLANTILLA ",O464,". SUELA DE ",P464)</f>
        <v>BOTA MF S3+CI+SRC+ESD Negro 45. FABRICADO EN MICROFIBRA ACABADO PIEL FULL GRAIN . PUNTERA DE Fibra de vidrio. PLANTILLA Antiperforación textil. SUELA DE PU/PU DOBLE DENSIDAD</v>
      </c>
      <c r="F464" t="str">
        <f>PROPER(E464)</f>
        <v>Bota Mf S3+Ci+Src+Esd Negro 45. Fabricado En Microfibra Acabado Piel Full Grain . Puntera De Fibra De Vidrio. Plantilla Antiperforación Textil. Suela De Pu/Pu Doble Densidad</v>
      </c>
      <c r="G464" s="24">
        <f>VLOOKUP(B464,Tabla1[],2,0)</f>
        <v>22.5</v>
      </c>
      <c r="H464" s="24">
        <f>+G464/0.72</f>
        <v>31.25</v>
      </c>
      <c r="I464" s="24">
        <f>+H464*1.21</f>
        <v>37.8125</v>
      </c>
      <c r="J464" s="24" t="s">
        <v>2326</v>
      </c>
      <c r="K464" s="24" t="s">
        <v>2365</v>
      </c>
      <c r="L464" t="s">
        <v>1392</v>
      </c>
      <c r="M464" t="s">
        <v>1416</v>
      </c>
      <c r="N464" t="s">
        <v>1425</v>
      </c>
      <c r="O464" t="s">
        <v>1428</v>
      </c>
      <c r="P464" t="s">
        <v>1429</v>
      </c>
      <c r="Q464">
        <v>45</v>
      </c>
      <c r="R464" s="2">
        <v>8457780268816</v>
      </c>
      <c r="S464" s="3" t="s">
        <v>1065</v>
      </c>
      <c r="T464" t="s">
        <v>1329</v>
      </c>
      <c r="U464" t="s">
        <v>1330</v>
      </c>
    </row>
    <row r="465" spans="1:21" x14ac:dyDescent="0.25">
      <c r="A465" t="s">
        <v>403</v>
      </c>
      <c r="B465" t="s">
        <v>2248</v>
      </c>
      <c r="C465" t="s">
        <v>415</v>
      </c>
      <c r="D465" t="s">
        <v>1443</v>
      </c>
      <c r="E465" t="str">
        <f>+CONCATENATE(D465,". FABRICADO EN ",M465,". PUNTERA DE ",N465,". PLANTILLA ",O465,". SUELA DE ",P465)</f>
        <v>BOTA MF S3+CI+SRC+ESD Negro 46. FABRICADO EN MICROFIBRA ACABADO PIEL FULL GRAIN . PUNTERA DE Fibra de vidrio. PLANTILLA Antiperforación textil. SUELA DE PU/PU DOBLE DENSIDAD</v>
      </c>
      <c r="F465" t="str">
        <f>PROPER(E465)</f>
        <v>Bota Mf S3+Ci+Src+Esd Negro 46. Fabricado En Microfibra Acabado Piel Full Grain . Puntera De Fibra De Vidrio. Plantilla Antiperforación Textil. Suela De Pu/Pu Doble Densidad</v>
      </c>
      <c r="G465" s="24">
        <f>VLOOKUP(B465,Tabla1[],2,0)</f>
        <v>22.5</v>
      </c>
      <c r="H465" s="24">
        <f>+G465/0.72</f>
        <v>31.25</v>
      </c>
      <c r="I465" s="24">
        <f>+H465*1.21</f>
        <v>37.8125</v>
      </c>
      <c r="J465" s="24" t="s">
        <v>2326</v>
      </c>
      <c r="K465" s="24" t="s">
        <v>2365</v>
      </c>
      <c r="L465" t="s">
        <v>1392</v>
      </c>
      <c r="M465" t="s">
        <v>1416</v>
      </c>
      <c r="N465" t="s">
        <v>1425</v>
      </c>
      <c r="O465" t="s">
        <v>1428</v>
      </c>
      <c r="P465" t="s">
        <v>1429</v>
      </c>
      <c r="Q465">
        <v>46</v>
      </c>
      <c r="R465" s="2">
        <v>8457780268823</v>
      </c>
      <c r="S465" s="3" t="s">
        <v>1066</v>
      </c>
      <c r="T465" t="s">
        <v>1329</v>
      </c>
      <c r="U465" t="s">
        <v>1330</v>
      </c>
    </row>
    <row r="466" spans="1:21" x14ac:dyDescent="0.25">
      <c r="A466" t="s">
        <v>403</v>
      </c>
      <c r="B466" t="s">
        <v>2248</v>
      </c>
      <c r="C466" t="s">
        <v>416</v>
      </c>
      <c r="D466" t="s">
        <v>1444</v>
      </c>
      <c r="E466" t="str">
        <f>+CONCATENATE(D466,". FABRICADO EN ",M466,". PUNTERA DE ",N466,". PLANTILLA ",O466,". SUELA DE ",P466)</f>
        <v>BOTA MF S3+CI+SRC+ESD Negro 47. FABRICADO EN MICROFIBRA ACABADO PIEL FULL GRAIN . PUNTERA DE Fibra de vidrio. PLANTILLA Antiperforación textil. SUELA DE PU/PU DOBLE DENSIDAD</v>
      </c>
      <c r="F466" t="str">
        <f>PROPER(E466)</f>
        <v>Bota Mf S3+Ci+Src+Esd Negro 47. Fabricado En Microfibra Acabado Piel Full Grain . Puntera De Fibra De Vidrio. Plantilla Antiperforación Textil. Suela De Pu/Pu Doble Densidad</v>
      </c>
      <c r="G466" s="24">
        <f>VLOOKUP(B466,Tabla1[],2,0)</f>
        <v>22.5</v>
      </c>
      <c r="H466" s="24">
        <f>+G466/0.72</f>
        <v>31.25</v>
      </c>
      <c r="I466" s="24">
        <f>+H466*1.21</f>
        <v>37.8125</v>
      </c>
      <c r="J466" s="24" t="s">
        <v>2326</v>
      </c>
      <c r="K466" s="24" t="s">
        <v>2365</v>
      </c>
      <c r="L466" t="s">
        <v>1392</v>
      </c>
      <c r="M466" t="s">
        <v>1416</v>
      </c>
      <c r="N466" t="s">
        <v>1425</v>
      </c>
      <c r="O466" t="s">
        <v>1428</v>
      </c>
      <c r="P466" t="s">
        <v>1429</v>
      </c>
      <c r="Q466">
        <v>47</v>
      </c>
      <c r="R466" s="2">
        <v>8457780268830</v>
      </c>
      <c r="S466" s="3" t="s">
        <v>1067</v>
      </c>
      <c r="T466" t="s">
        <v>1329</v>
      </c>
      <c r="U466" t="s">
        <v>1330</v>
      </c>
    </row>
    <row r="467" spans="1:21" x14ac:dyDescent="0.25">
      <c r="A467" t="s">
        <v>403</v>
      </c>
      <c r="B467" t="s">
        <v>2248</v>
      </c>
      <c r="C467" t="s">
        <v>417</v>
      </c>
      <c r="D467" t="s">
        <v>1445</v>
      </c>
      <c r="E467" t="str">
        <f>+CONCATENATE(D467,". FABRICADO EN ",M467,". PUNTERA DE ",N467,". PLANTILLA ",O467,". SUELA DE ",P467)</f>
        <v>BOTA MF S3+CI+SRC+ESD Negro 48. FABRICADO EN MICROFIBRA ACABADO PIEL FULL GRAIN . PUNTERA DE Fibra de vidrio. PLANTILLA Antiperforación textil. SUELA DE PU/PU DOBLE DENSIDAD</v>
      </c>
      <c r="F467" t="str">
        <f>PROPER(E467)</f>
        <v>Bota Mf S3+Ci+Src+Esd Negro 48. Fabricado En Microfibra Acabado Piel Full Grain . Puntera De Fibra De Vidrio. Plantilla Antiperforación Textil. Suela De Pu/Pu Doble Densidad</v>
      </c>
      <c r="G467" s="24">
        <f>VLOOKUP(B467,Tabla1[],2,0)</f>
        <v>22.5</v>
      </c>
      <c r="H467" s="24">
        <f>+G467/0.72</f>
        <v>31.25</v>
      </c>
      <c r="I467" s="24">
        <f>+H467*1.21</f>
        <v>37.8125</v>
      </c>
      <c r="J467" s="24" t="s">
        <v>2326</v>
      </c>
      <c r="K467" s="24" t="s">
        <v>2365</v>
      </c>
      <c r="L467" t="s">
        <v>1392</v>
      </c>
      <c r="M467" t="s">
        <v>1416</v>
      </c>
      <c r="N467" t="s">
        <v>1425</v>
      </c>
      <c r="O467" t="s">
        <v>1428</v>
      </c>
      <c r="P467" t="s">
        <v>1429</v>
      </c>
      <c r="Q467">
        <v>48</v>
      </c>
      <c r="R467" s="2">
        <v>8457780304033</v>
      </c>
      <c r="S467" s="3" t="s">
        <v>1068</v>
      </c>
      <c r="T467" t="s">
        <v>1329</v>
      </c>
      <c r="U467" t="s">
        <v>1330</v>
      </c>
    </row>
    <row r="468" spans="1:21" x14ac:dyDescent="0.25">
      <c r="A468" t="s">
        <v>418</v>
      </c>
      <c r="B468" t="s">
        <v>2249</v>
      </c>
      <c r="C468" t="s">
        <v>419</v>
      </c>
      <c r="D468" t="s">
        <v>1790</v>
      </c>
      <c r="E468" t="str">
        <f>+CONCATENATE(D468,". FABRICADO EN ",M468,". PUNTERA DE ",N468,". PLANTILLA ",O468,". SUELA DE ",P468)</f>
        <v>BOTA PIEL S3S+CI+HI+FO+SR METAL FREE Negro 35. FABRICADO EN PIEL GRABADA. PUNTERA DE Fibra de vidrio. PLANTILLA Antiperforación textil. SUELA DE PU/PU DOBLE DENSIDAD</v>
      </c>
      <c r="F468" t="str">
        <f>PROPER(E468)</f>
        <v>Bota Piel S3S+Ci+Hi+Fo+Sr Metal Free Negro 35. Fabricado En Piel Grabada. Puntera De Fibra De Vidrio. Plantilla Antiperforación Textil. Suela De Pu/Pu Doble Densidad</v>
      </c>
      <c r="G468" s="24">
        <f>VLOOKUP(B468,Tabla1[],2,0)</f>
        <v>14.2</v>
      </c>
      <c r="H468" s="24">
        <f>+G468/0.7</f>
        <v>20.285714285714285</v>
      </c>
      <c r="I468" s="24">
        <f>+H468*1.21</f>
        <v>24.545714285714283</v>
      </c>
      <c r="J468" s="24" t="s">
        <v>2326</v>
      </c>
      <c r="K468" s="24" t="s">
        <v>2365</v>
      </c>
      <c r="L468" t="s">
        <v>1392</v>
      </c>
      <c r="M468" t="s">
        <v>1415</v>
      </c>
      <c r="N468" t="s">
        <v>1425</v>
      </c>
      <c r="O468" t="s">
        <v>1428</v>
      </c>
      <c r="P468" t="s">
        <v>1429</v>
      </c>
      <c r="Q468">
        <v>35</v>
      </c>
      <c r="R468" s="2">
        <v>8457780303944</v>
      </c>
      <c r="S468" s="3" t="s">
        <v>1069</v>
      </c>
      <c r="T468" t="s">
        <v>1357</v>
      </c>
      <c r="U468" t="s">
        <v>1358</v>
      </c>
    </row>
    <row r="469" spans="1:21" x14ac:dyDescent="0.25">
      <c r="A469" t="s">
        <v>418</v>
      </c>
      <c r="B469" t="s">
        <v>2249</v>
      </c>
      <c r="C469" t="s">
        <v>420</v>
      </c>
      <c r="D469" t="s">
        <v>1791</v>
      </c>
      <c r="E469" t="str">
        <f>+CONCATENATE(D469,". FABRICADO EN ",M469,". PUNTERA DE ",N469,". PLANTILLA ",O469,". SUELA DE ",P469)</f>
        <v>BOTA PIEL S3S+CI+HI+FO+SR METAL FREE Negro 36. FABRICADO EN PIEL GRABADA. PUNTERA DE Fibra de vidrio. PLANTILLA Antiperforación textil. SUELA DE PU/PU DOBLE DENSIDAD</v>
      </c>
      <c r="F469" t="str">
        <f>PROPER(E469)</f>
        <v>Bota Piel S3S+Ci+Hi+Fo+Sr Metal Free Negro 36. Fabricado En Piel Grabada. Puntera De Fibra De Vidrio. Plantilla Antiperforación Textil. Suela De Pu/Pu Doble Densidad</v>
      </c>
      <c r="G469" s="24">
        <f>VLOOKUP(B469,Tabla1[],2,0)</f>
        <v>14.2</v>
      </c>
      <c r="H469" s="24">
        <f>+G469/0.7</f>
        <v>20.285714285714285</v>
      </c>
      <c r="I469" s="24">
        <f>+H469*1.21</f>
        <v>24.545714285714283</v>
      </c>
      <c r="J469" s="24" t="s">
        <v>2326</v>
      </c>
      <c r="K469" s="24" t="s">
        <v>2365</v>
      </c>
      <c r="L469" t="s">
        <v>1392</v>
      </c>
      <c r="M469" t="s">
        <v>1415</v>
      </c>
      <c r="N469" t="s">
        <v>1425</v>
      </c>
      <c r="O469" t="s">
        <v>1428</v>
      </c>
      <c r="P469" t="s">
        <v>1429</v>
      </c>
      <c r="Q469">
        <v>36</v>
      </c>
      <c r="R469" s="2">
        <v>8457780268120</v>
      </c>
      <c r="S469" s="3" t="s">
        <v>1070</v>
      </c>
      <c r="T469" t="s">
        <v>1357</v>
      </c>
      <c r="U469" t="s">
        <v>1358</v>
      </c>
    </row>
    <row r="470" spans="1:21" x14ac:dyDescent="0.25">
      <c r="A470" t="s">
        <v>418</v>
      </c>
      <c r="B470" t="s">
        <v>2249</v>
      </c>
      <c r="C470" t="s">
        <v>421</v>
      </c>
      <c r="D470" t="s">
        <v>1792</v>
      </c>
      <c r="E470" t="str">
        <f>+CONCATENATE(D470,". FABRICADO EN ",M470,". PUNTERA DE ",N470,". PLANTILLA ",O470,". SUELA DE ",P470)</f>
        <v>BOTA PIEL S3S+CI+HI+FO+SR METAL FREE Negro 37. FABRICADO EN PIEL GRABADA. PUNTERA DE Fibra de vidrio. PLANTILLA Antiperforación textil. SUELA DE PU/PU DOBLE DENSIDAD</v>
      </c>
      <c r="F470" t="str">
        <f>PROPER(E470)</f>
        <v>Bota Piel S3S+Ci+Hi+Fo+Sr Metal Free Negro 37. Fabricado En Piel Grabada. Puntera De Fibra De Vidrio. Plantilla Antiperforación Textil. Suela De Pu/Pu Doble Densidad</v>
      </c>
      <c r="G470" s="24">
        <f>VLOOKUP(B470,Tabla1[],2,0)</f>
        <v>14.2</v>
      </c>
      <c r="H470" s="24">
        <f>+G470/0.7</f>
        <v>20.285714285714285</v>
      </c>
      <c r="I470" s="24">
        <f>+H470*1.21</f>
        <v>24.545714285714283</v>
      </c>
      <c r="J470" s="24" t="s">
        <v>2326</v>
      </c>
      <c r="K470" s="24" t="s">
        <v>2365</v>
      </c>
      <c r="L470" t="s">
        <v>1392</v>
      </c>
      <c r="M470" t="s">
        <v>1415</v>
      </c>
      <c r="N470" t="s">
        <v>1425</v>
      </c>
      <c r="O470" t="s">
        <v>1428</v>
      </c>
      <c r="P470" t="s">
        <v>1429</v>
      </c>
      <c r="Q470">
        <v>37</v>
      </c>
      <c r="R470" s="2">
        <v>8457780268137</v>
      </c>
      <c r="S470" s="3" t="s">
        <v>1071</v>
      </c>
      <c r="T470" t="s">
        <v>1357</v>
      </c>
      <c r="U470" t="s">
        <v>1358</v>
      </c>
    </row>
    <row r="471" spans="1:21" x14ac:dyDescent="0.25">
      <c r="A471" t="s">
        <v>418</v>
      </c>
      <c r="B471" t="s">
        <v>2249</v>
      </c>
      <c r="C471" t="s">
        <v>422</v>
      </c>
      <c r="D471" t="s">
        <v>1793</v>
      </c>
      <c r="E471" t="str">
        <f>+CONCATENATE(D471,". FABRICADO EN ",M471,". PUNTERA DE ",N471,". PLANTILLA ",O471,". SUELA DE ",P471)</f>
        <v>BOTA PIEL S3S+CI+HI+FO+SR METAL FREE Negro 38. FABRICADO EN PIEL GRABADA. PUNTERA DE Fibra de vidrio. PLANTILLA Antiperforación textil. SUELA DE PU/PU DOBLE DENSIDAD</v>
      </c>
      <c r="F471" t="str">
        <f>PROPER(E471)</f>
        <v>Bota Piel S3S+Ci+Hi+Fo+Sr Metal Free Negro 38. Fabricado En Piel Grabada. Puntera De Fibra De Vidrio. Plantilla Antiperforación Textil. Suela De Pu/Pu Doble Densidad</v>
      </c>
      <c r="G471" s="24">
        <f>VLOOKUP(B471,Tabla1[],2,0)</f>
        <v>14.2</v>
      </c>
      <c r="H471" s="24">
        <f>+G471/0.7</f>
        <v>20.285714285714285</v>
      </c>
      <c r="I471" s="24">
        <f>+H471*1.21</f>
        <v>24.545714285714283</v>
      </c>
      <c r="J471" s="24" t="s">
        <v>2326</v>
      </c>
      <c r="K471" s="24" t="s">
        <v>2365</v>
      </c>
      <c r="L471" t="s">
        <v>1392</v>
      </c>
      <c r="M471" t="s">
        <v>1415</v>
      </c>
      <c r="N471" t="s">
        <v>1425</v>
      </c>
      <c r="O471" t="s">
        <v>1428</v>
      </c>
      <c r="P471" t="s">
        <v>1429</v>
      </c>
      <c r="Q471">
        <v>38</v>
      </c>
      <c r="R471" s="2">
        <v>8457780268144</v>
      </c>
      <c r="S471" s="3" t="s">
        <v>1072</v>
      </c>
      <c r="T471" t="s">
        <v>1357</v>
      </c>
      <c r="U471" t="s">
        <v>1358</v>
      </c>
    </row>
    <row r="472" spans="1:21" x14ac:dyDescent="0.25">
      <c r="A472" t="s">
        <v>418</v>
      </c>
      <c r="B472" t="s">
        <v>2249</v>
      </c>
      <c r="C472" t="s">
        <v>423</v>
      </c>
      <c r="D472" t="s">
        <v>1794</v>
      </c>
      <c r="E472" t="str">
        <f>+CONCATENATE(D472,". FABRICADO EN ",M472,". PUNTERA DE ",N472,". PLANTILLA ",O472,". SUELA DE ",P472)</f>
        <v>BOTA PIEL S3S+CI+HI+FO+SR METAL FREE Negro 39. FABRICADO EN PIEL GRABADA. PUNTERA DE Fibra de vidrio. PLANTILLA Antiperforación textil. SUELA DE PU/PU DOBLE DENSIDAD</v>
      </c>
      <c r="F472" t="str">
        <f>PROPER(E472)</f>
        <v>Bota Piel S3S+Ci+Hi+Fo+Sr Metal Free Negro 39. Fabricado En Piel Grabada. Puntera De Fibra De Vidrio. Plantilla Antiperforación Textil. Suela De Pu/Pu Doble Densidad</v>
      </c>
      <c r="G472" s="24">
        <f>VLOOKUP(B472,Tabla1[],2,0)</f>
        <v>14.2</v>
      </c>
      <c r="H472" s="24">
        <f>+G472/0.7</f>
        <v>20.285714285714285</v>
      </c>
      <c r="I472" s="24">
        <f>+H472*1.21</f>
        <v>24.545714285714283</v>
      </c>
      <c r="J472" s="24" t="s">
        <v>2326</v>
      </c>
      <c r="K472" s="24" t="s">
        <v>2365</v>
      </c>
      <c r="L472" t="s">
        <v>1392</v>
      </c>
      <c r="M472" t="s">
        <v>1415</v>
      </c>
      <c r="N472" t="s">
        <v>1425</v>
      </c>
      <c r="O472" t="s">
        <v>1428</v>
      </c>
      <c r="P472" t="s">
        <v>1429</v>
      </c>
      <c r="Q472">
        <v>39</v>
      </c>
      <c r="R472" s="2">
        <v>8457780268151</v>
      </c>
      <c r="S472" s="3" t="s">
        <v>1073</v>
      </c>
      <c r="T472" t="s">
        <v>1357</v>
      </c>
      <c r="U472" t="s">
        <v>1358</v>
      </c>
    </row>
    <row r="473" spans="1:21" x14ac:dyDescent="0.25">
      <c r="A473" t="s">
        <v>418</v>
      </c>
      <c r="B473" t="s">
        <v>2249</v>
      </c>
      <c r="C473" t="s">
        <v>424</v>
      </c>
      <c r="D473" t="s">
        <v>1795</v>
      </c>
      <c r="E473" t="str">
        <f>+CONCATENATE(D473,". FABRICADO EN ",M473,". PUNTERA DE ",N473,". PLANTILLA ",O473,". SUELA DE ",P473)</f>
        <v>BOTA PIEL S3S+CI+HI+FO+SR METAL FREE Negro 40. FABRICADO EN PIEL GRABADA. PUNTERA DE Fibra de vidrio. PLANTILLA Antiperforación textil. SUELA DE PU/PU DOBLE DENSIDAD</v>
      </c>
      <c r="F473" t="str">
        <f>PROPER(E473)</f>
        <v>Bota Piel S3S+Ci+Hi+Fo+Sr Metal Free Negro 40. Fabricado En Piel Grabada. Puntera De Fibra De Vidrio. Plantilla Antiperforación Textil. Suela De Pu/Pu Doble Densidad</v>
      </c>
      <c r="G473" s="24">
        <f>VLOOKUP(B473,Tabla1[],2,0)</f>
        <v>14.2</v>
      </c>
      <c r="H473" s="24">
        <f>+G473/0.7</f>
        <v>20.285714285714285</v>
      </c>
      <c r="I473" s="24">
        <f>+H473*1.21</f>
        <v>24.545714285714283</v>
      </c>
      <c r="J473" s="24" t="s">
        <v>2326</v>
      </c>
      <c r="K473" s="24" t="s">
        <v>2365</v>
      </c>
      <c r="L473" t="s">
        <v>1392</v>
      </c>
      <c r="M473" t="s">
        <v>1415</v>
      </c>
      <c r="N473" t="s">
        <v>1425</v>
      </c>
      <c r="O473" t="s">
        <v>1428</v>
      </c>
      <c r="P473" t="s">
        <v>1429</v>
      </c>
      <c r="Q473">
        <v>40</v>
      </c>
      <c r="R473" s="2">
        <v>8457780268168</v>
      </c>
      <c r="S473" s="3" t="s">
        <v>1074</v>
      </c>
      <c r="T473" t="s">
        <v>1357</v>
      </c>
      <c r="U473" t="s">
        <v>1358</v>
      </c>
    </row>
    <row r="474" spans="1:21" x14ac:dyDescent="0.25">
      <c r="A474" t="s">
        <v>418</v>
      </c>
      <c r="B474" t="s">
        <v>2249</v>
      </c>
      <c r="C474" t="s">
        <v>425</v>
      </c>
      <c r="D474" t="s">
        <v>1796</v>
      </c>
      <c r="E474" t="str">
        <f>+CONCATENATE(D474,". FABRICADO EN ",M474,". PUNTERA DE ",N474,". PLANTILLA ",O474,". SUELA DE ",P474)</f>
        <v>BOTA PIEL S3S+CI+HI+FO+SR METAL FREE Negro 41. FABRICADO EN PIEL GRABADA. PUNTERA DE Fibra de vidrio. PLANTILLA Antiperforación textil. SUELA DE PU/PU DOBLE DENSIDAD</v>
      </c>
      <c r="F474" t="str">
        <f>PROPER(E474)</f>
        <v>Bota Piel S3S+Ci+Hi+Fo+Sr Metal Free Negro 41. Fabricado En Piel Grabada. Puntera De Fibra De Vidrio. Plantilla Antiperforación Textil. Suela De Pu/Pu Doble Densidad</v>
      </c>
      <c r="G474" s="24">
        <f>VLOOKUP(B474,Tabla1[],2,0)</f>
        <v>14.2</v>
      </c>
      <c r="H474" s="24">
        <f>+G474/0.7</f>
        <v>20.285714285714285</v>
      </c>
      <c r="I474" s="24">
        <f>+H474*1.21</f>
        <v>24.545714285714283</v>
      </c>
      <c r="J474" s="24" t="s">
        <v>2326</v>
      </c>
      <c r="K474" s="24" t="s">
        <v>2365</v>
      </c>
      <c r="L474" t="s">
        <v>1392</v>
      </c>
      <c r="M474" t="s">
        <v>1415</v>
      </c>
      <c r="N474" t="s">
        <v>1425</v>
      </c>
      <c r="O474" t="s">
        <v>1428</v>
      </c>
      <c r="P474" t="s">
        <v>1429</v>
      </c>
      <c r="Q474">
        <v>41</v>
      </c>
      <c r="R474" s="2">
        <v>8457780268175</v>
      </c>
      <c r="S474" s="3" t="s">
        <v>1075</v>
      </c>
      <c r="T474" t="s">
        <v>1357</v>
      </c>
      <c r="U474" t="s">
        <v>1358</v>
      </c>
    </row>
    <row r="475" spans="1:21" x14ac:dyDescent="0.25">
      <c r="A475" t="s">
        <v>418</v>
      </c>
      <c r="B475" t="s">
        <v>2249</v>
      </c>
      <c r="C475" t="s">
        <v>426</v>
      </c>
      <c r="D475" t="s">
        <v>1797</v>
      </c>
      <c r="E475" t="str">
        <f>+CONCATENATE(D475,". FABRICADO EN ",M475,". PUNTERA DE ",N475,". PLANTILLA ",O475,". SUELA DE ",P475)</f>
        <v>BOTA PIEL S3S+CI+HI+FO+SR METAL FREE Negro 42. FABRICADO EN PIEL GRABADA. PUNTERA DE Fibra de vidrio. PLANTILLA Antiperforación textil. SUELA DE PU/PU DOBLE DENSIDAD</v>
      </c>
      <c r="F475" t="str">
        <f>PROPER(E475)</f>
        <v>Bota Piel S3S+Ci+Hi+Fo+Sr Metal Free Negro 42. Fabricado En Piel Grabada. Puntera De Fibra De Vidrio. Plantilla Antiperforación Textil. Suela De Pu/Pu Doble Densidad</v>
      </c>
      <c r="G475" s="24">
        <f>VLOOKUP(B475,Tabla1[],2,0)</f>
        <v>14.2</v>
      </c>
      <c r="H475" s="24">
        <f>+G475/0.7</f>
        <v>20.285714285714285</v>
      </c>
      <c r="I475" s="24">
        <f>+H475*1.21</f>
        <v>24.545714285714283</v>
      </c>
      <c r="J475" s="24" t="s">
        <v>2326</v>
      </c>
      <c r="K475" s="24" t="s">
        <v>2365</v>
      </c>
      <c r="L475" t="s">
        <v>1392</v>
      </c>
      <c r="M475" t="s">
        <v>1415</v>
      </c>
      <c r="N475" t="s">
        <v>1425</v>
      </c>
      <c r="O475" t="s">
        <v>1428</v>
      </c>
      <c r="P475" t="s">
        <v>1429</v>
      </c>
      <c r="Q475">
        <v>42</v>
      </c>
      <c r="R475" s="2">
        <v>8457780268182</v>
      </c>
      <c r="S475" s="3" t="s">
        <v>1076</v>
      </c>
      <c r="T475" t="s">
        <v>1357</v>
      </c>
      <c r="U475" t="s">
        <v>1358</v>
      </c>
    </row>
    <row r="476" spans="1:21" x14ac:dyDescent="0.25">
      <c r="A476" t="s">
        <v>418</v>
      </c>
      <c r="B476" t="s">
        <v>2249</v>
      </c>
      <c r="C476" t="s">
        <v>427</v>
      </c>
      <c r="D476" t="s">
        <v>1798</v>
      </c>
      <c r="E476" t="str">
        <f>+CONCATENATE(D476,". FABRICADO EN ",M476,". PUNTERA DE ",N476,". PLANTILLA ",O476,". SUELA DE ",P476)</f>
        <v>BOTA PIEL S3S+CI+HI+FO+SR METAL FREE Negro 43. FABRICADO EN PIEL GRABADA. PUNTERA DE Fibra de vidrio. PLANTILLA Antiperforación textil. SUELA DE PU/PU DOBLE DENSIDAD</v>
      </c>
      <c r="F476" t="str">
        <f>PROPER(E476)</f>
        <v>Bota Piel S3S+Ci+Hi+Fo+Sr Metal Free Negro 43. Fabricado En Piel Grabada. Puntera De Fibra De Vidrio. Plantilla Antiperforación Textil. Suela De Pu/Pu Doble Densidad</v>
      </c>
      <c r="G476" s="24">
        <f>VLOOKUP(B476,Tabla1[],2,0)</f>
        <v>14.2</v>
      </c>
      <c r="H476" s="24">
        <f>+G476/0.7</f>
        <v>20.285714285714285</v>
      </c>
      <c r="I476" s="24">
        <f>+H476*1.21</f>
        <v>24.545714285714283</v>
      </c>
      <c r="J476" s="24" t="s">
        <v>2326</v>
      </c>
      <c r="K476" s="24" t="s">
        <v>2365</v>
      </c>
      <c r="L476" t="s">
        <v>1392</v>
      </c>
      <c r="M476" t="s">
        <v>1415</v>
      </c>
      <c r="N476" t="s">
        <v>1425</v>
      </c>
      <c r="O476" t="s">
        <v>1428</v>
      </c>
      <c r="P476" t="s">
        <v>1429</v>
      </c>
      <c r="Q476">
        <v>43</v>
      </c>
      <c r="R476" s="2">
        <v>8457780268199</v>
      </c>
      <c r="S476" s="3" t="s">
        <v>1077</v>
      </c>
      <c r="T476" t="s">
        <v>1357</v>
      </c>
      <c r="U476" t="s">
        <v>1358</v>
      </c>
    </row>
    <row r="477" spans="1:21" x14ac:dyDescent="0.25">
      <c r="A477" t="s">
        <v>418</v>
      </c>
      <c r="B477" t="s">
        <v>2249</v>
      </c>
      <c r="C477" t="s">
        <v>428</v>
      </c>
      <c r="D477" t="s">
        <v>1799</v>
      </c>
      <c r="E477" t="str">
        <f>+CONCATENATE(D477,". FABRICADO EN ",M477,". PUNTERA DE ",N477,". PLANTILLA ",O477,". SUELA DE ",P477)</f>
        <v>BOTA PIEL S3S+CI+HI+FO+SR METAL FREE Negro 44. FABRICADO EN PIEL GRABADA. PUNTERA DE Fibra de vidrio. PLANTILLA Antiperforación textil. SUELA DE PU/PU DOBLE DENSIDAD</v>
      </c>
      <c r="F477" t="str">
        <f>PROPER(E477)</f>
        <v>Bota Piel S3S+Ci+Hi+Fo+Sr Metal Free Negro 44. Fabricado En Piel Grabada. Puntera De Fibra De Vidrio. Plantilla Antiperforación Textil. Suela De Pu/Pu Doble Densidad</v>
      </c>
      <c r="G477" s="24">
        <f>VLOOKUP(B477,Tabla1[],2,0)</f>
        <v>14.2</v>
      </c>
      <c r="H477" s="24">
        <f>+G477/0.7</f>
        <v>20.285714285714285</v>
      </c>
      <c r="I477" s="24">
        <f>+H477*1.21</f>
        <v>24.545714285714283</v>
      </c>
      <c r="J477" s="24" t="s">
        <v>2326</v>
      </c>
      <c r="K477" s="24" t="s">
        <v>2365</v>
      </c>
      <c r="L477" t="s">
        <v>1392</v>
      </c>
      <c r="M477" t="s">
        <v>1415</v>
      </c>
      <c r="N477" t="s">
        <v>1425</v>
      </c>
      <c r="O477" t="s">
        <v>1428</v>
      </c>
      <c r="P477" t="s">
        <v>1429</v>
      </c>
      <c r="Q477">
        <v>44</v>
      </c>
      <c r="R477" s="2">
        <v>8457780268205</v>
      </c>
      <c r="S477" s="3" t="s">
        <v>1078</v>
      </c>
      <c r="T477" t="s">
        <v>1357</v>
      </c>
      <c r="U477" t="s">
        <v>1358</v>
      </c>
    </row>
    <row r="478" spans="1:21" x14ac:dyDescent="0.25">
      <c r="A478" t="s">
        <v>418</v>
      </c>
      <c r="B478" t="s">
        <v>2249</v>
      </c>
      <c r="C478" t="s">
        <v>429</v>
      </c>
      <c r="D478" t="s">
        <v>1800</v>
      </c>
      <c r="E478" t="str">
        <f>+CONCATENATE(D478,". FABRICADO EN ",M478,". PUNTERA DE ",N478,". PLANTILLA ",O478,". SUELA DE ",P478)</f>
        <v>BOTA PIEL S3S+CI+HI+FO+SR METAL FREE Negro 45. FABRICADO EN PIEL GRABADA. PUNTERA DE Fibra de vidrio. PLANTILLA Antiperforación textil. SUELA DE PU/PU DOBLE DENSIDAD</v>
      </c>
      <c r="F478" t="str">
        <f>PROPER(E478)</f>
        <v>Bota Piel S3S+Ci+Hi+Fo+Sr Metal Free Negro 45. Fabricado En Piel Grabada. Puntera De Fibra De Vidrio. Plantilla Antiperforación Textil. Suela De Pu/Pu Doble Densidad</v>
      </c>
      <c r="G478" s="24">
        <f>VLOOKUP(B478,Tabla1[],2,0)</f>
        <v>14.2</v>
      </c>
      <c r="H478" s="24">
        <f>+G478/0.7</f>
        <v>20.285714285714285</v>
      </c>
      <c r="I478" s="24">
        <f>+H478*1.21</f>
        <v>24.545714285714283</v>
      </c>
      <c r="J478" s="24" t="s">
        <v>2326</v>
      </c>
      <c r="K478" s="24" t="s">
        <v>2365</v>
      </c>
      <c r="L478" t="s">
        <v>1392</v>
      </c>
      <c r="M478" t="s">
        <v>1415</v>
      </c>
      <c r="N478" t="s">
        <v>1425</v>
      </c>
      <c r="O478" t="s">
        <v>1428</v>
      </c>
      <c r="P478" t="s">
        <v>1429</v>
      </c>
      <c r="Q478">
        <v>45</v>
      </c>
      <c r="R478" s="2">
        <v>8457780268212</v>
      </c>
      <c r="S478" s="3" t="s">
        <v>1079</v>
      </c>
      <c r="T478" t="s">
        <v>1357</v>
      </c>
      <c r="U478" t="s">
        <v>1358</v>
      </c>
    </row>
    <row r="479" spans="1:21" x14ac:dyDescent="0.25">
      <c r="A479" t="s">
        <v>418</v>
      </c>
      <c r="B479" t="s">
        <v>2249</v>
      </c>
      <c r="C479" t="s">
        <v>430</v>
      </c>
      <c r="D479" t="s">
        <v>1801</v>
      </c>
      <c r="E479" t="str">
        <f>+CONCATENATE(D479,". FABRICADO EN ",M479,". PUNTERA DE ",N479,". PLANTILLA ",O479,". SUELA DE ",P479)</f>
        <v>BOTA PIEL S3S+CI+HI+FO+SR METAL FREE Negro 46. FABRICADO EN PIEL GRABADA. PUNTERA DE Fibra de vidrio. PLANTILLA Antiperforación textil. SUELA DE PU/PU DOBLE DENSIDAD</v>
      </c>
      <c r="F479" t="str">
        <f>PROPER(E479)</f>
        <v>Bota Piel S3S+Ci+Hi+Fo+Sr Metal Free Negro 46. Fabricado En Piel Grabada. Puntera De Fibra De Vidrio. Plantilla Antiperforación Textil. Suela De Pu/Pu Doble Densidad</v>
      </c>
      <c r="G479" s="24">
        <f>VLOOKUP(B479,Tabla1[],2,0)</f>
        <v>14.2</v>
      </c>
      <c r="H479" s="24">
        <f>+G479/0.7</f>
        <v>20.285714285714285</v>
      </c>
      <c r="I479" s="24">
        <f>+H479*1.21</f>
        <v>24.545714285714283</v>
      </c>
      <c r="J479" s="24" t="s">
        <v>2326</v>
      </c>
      <c r="K479" s="24" t="s">
        <v>2365</v>
      </c>
      <c r="L479" t="s">
        <v>1392</v>
      </c>
      <c r="M479" t="s">
        <v>1415</v>
      </c>
      <c r="N479" t="s">
        <v>1425</v>
      </c>
      <c r="O479" t="s">
        <v>1428</v>
      </c>
      <c r="P479" t="s">
        <v>1429</v>
      </c>
      <c r="Q479">
        <v>46</v>
      </c>
      <c r="R479" s="2">
        <v>8457780268229</v>
      </c>
      <c r="S479" s="3" t="s">
        <v>1080</v>
      </c>
      <c r="T479" t="s">
        <v>1357</v>
      </c>
      <c r="U479" t="s">
        <v>1358</v>
      </c>
    </row>
    <row r="480" spans="1:21" x14ac:dyDescent="0.25">
      <c r="A480" t="s">
        <v>418</v>
      </c>
      <c r="B480" t="s">
        <v>2249</v>
      </c>
      <c r="C480" t="s">
        <v>431</v>
      </c>
      <c r="D480" t="s">
        <v>1802</v>
      </c>
      <c r="E480" t="str">
        <f>+CONCATENATE(D480,". FABRICADO EN ",M480,". PUNTERA DE ",N480,". PLANTILLA ",O480,". SUELA DE ",P480)</f>
        <v>BOTA PIEL S3S+CI+HI+FO+SR METAL FREE Negro 47. FABRICADO EN PIEL GRABADA. PUNTERA DE Fibra de vidrio. PLANTILLA Antiperforación textil. SUELA DE PU/PU DOBLE DENSIDAD</v>
      </c>
      <c r="F480" t="str">
        <f>PROPER(E480)</f>
        <v>Bota Piel S3S+Ci+Hi+Fo+Sr Metal Free Negro 47. Fabricado En Piel Grabada. Puntera De Fibra De Vidrio. Plantilla Antiperforación Textil. Suela De Pu/Pu Doble Densidad</v>
      </c>
      <c r="G480" s="24">
        <f>VLOOKUP(B480,Tabla1[],2,0)</f>
        <v>14.2</v>
      </c>
      <c r="H480" s="24">
        <f>+G480/0.7</f>
        <v>20.285714285714285</v>
      </c>
      <c r="I480" s="24">
        <f>+H480*1.21</f>
        <v>24.545714285714283</v>
      </c>
      <c r="J480" s="24" t="s">
        <v>2326</v>
      </c>
      <c r="K480" s="24" t="s">
        <v>2365</v>
      </c>
      <c r="L480" t="s">
        <v>1392</v>
      </c>
      <c r="M480" t="s">
        <v>1415</v>
      </c>
      <c r="N480" t="s">
        <v>1425</v>
      </c>
      <c r="O480" t="s">
        <v>1428</v>
      </c>
      <c r="P480" t="s">
        <v>1429</v>
      </c>
      <c r="Q480">
        <v>47</v>
      </c>
      <c r="R480" s="2">
        <v>8457780268236</v>
      </c>
      <c r="S480" s="3" t="s">
        <v>1081</v>
      </c>
      <c r="T480" t="s">
        <v>1357</v>
      </c>
      <c r="U480" t="s">
        <v>1358</v>
      </c>
    </row>
    <row r="481" spans="1:21" x14ac:dyDescent="0.25">
      <c r="A481" t="s">
        <v>418</v>
      </c>
      <c r="B481" t="s">
        <v>2249</v>
      </c>
      <c r="C481" t="s">
        <v>432</v>
      </c>
      <c r="D481" t="s">
        <v>1803</v>
      </c>
      <c r="E481" t="str">
        <f>+CONCATENATE(D481,". FABRICADO EN ",M481,". PUNTERA DE ",N481,". PLANTILLA ",O481,". SUELA DE ",P481)</f>
        <v>BOTA PIEL S3S+CI+HI+FO+SR METAL FREE Negro 48. FABRICADO EN PIEL GRABADA. PUNTERA DE Fibra de vidrio. PLANTILLA Antiperforación textil. SUELA DE PU/PU DOBLE DENSIDAD</v>
      </c>
      <c r="F481" t="str">
        <f>PROPER(E481)</f>
        <v>Bota Piel S3S+Ci+Hi+Fo+Sr Metal Free Negro 48. Fabricado En Piel Grabada. Puntera De Fibra De Vidrio. Plantilla Antiperforación Textil. Suela De Pu/Pu Doble Densidad</v>
      </c>
      <c r="G481" s="24">
        <f>VLOOKUP(B481,Tabla1[],2,0)</f>
        <v>14.2</v>
      </c>
      <c r="H481" s="24">
        <f>+G481/0.7</f>
        <v>20.285714285714285</v>
      </c>
      <c r="I481" s="24">
        <f>+H481*1.21</f>
        <v>24.545714285714283</v>
      </c>
      <c r="J481" s="24" t="s">
        <v>2326</v>
      </c>
      <c r="K481" s="24" t="s">
        <v>2365</v>
      </c>
      <c r="L481" t="s">
        <v>1392</v>
      </c>
      <c r="M481" t="s">
        <v>1415</v>
      </c>
      <c r="N481" t="s">
        <v>1425</v>
      </c>
      <c r="O481" t="s">
        <v>1428</v>
      </c>
      <c r="P481" t="s">
        <v>1429</v>
      </c>
      <c r="Q481">
        <v>48</v>
      </c>
      <c r="R481" s="2">
        <v>8457780303951</v>
      </c>
      <c r="S481" s="3" t="s">
        <v>1082</v>
      </c>
      <c r="T481" t="s">
        <v>1357</v>
      </c>
      <c r="U481" t="s">
        <v>1358</v>
      </c>
    </row>
    <row r="482" spans="1:21" x14ac:dyDescent="0.25">
      <c r="A482" t="s">
        <v>433</v>
      </c>
      <c r="B482" t="s">
        <v>2250</v>
      </c>
      <c r="C482" t="s">
        <v>434</v>
      </c>
      <c r="D482" t="s">
        <v>1460</v>
      </c>
      <c r="E482" t="str">
        <f>+CONCATENATE(D482,". FABRICADO EN ",M482,". PUNTERA DE ",N482,". PLANTILLA ",O482,". SUELA DE ",P482)</f>
        <v>ZAPATO MF S3+CI+SRC+ESD Negro 35. FABRICADO EN MICROFIBRA ACABADO NOBUCK. PUNTERA DE Fibra de vidrio. PLANTILLA Antiperforación textil. SUELA DE PU/PU DOBLE DENSIDAD</v>
      </c>
      <c r="F482" t="str">
        <f>PROPER(E482)</f>
        <v>Zapato Mf S3+Ci+Src+Esd Negro 35. Fabricado En Microfibra Acabado Nobuck. Puntera De Fibra De Vidrio. Plantilla Antiperforación Textil. Suela De Pu/Pu Doble Densidad</v>
      </c>
      <c r="G482" s="24">
        <f>VLOOKUP(B482,Tabla1[],2,0)</f>
        <v>24.56</v>
      </c>
      <c r="H482" s="24">
        <f>+G482/0.72</f>
        <v>34.111111111111107</v>
      </c>
      <c r="I482" s="24">
        <f>+H482*1.21</f>
        <v>41.274444444444441</v>
      </c>
      <c r="J482" s="24" t="s">
        <v>2359</v>
      </c>
      <c r="K482" s="24" t="s">
        <v>2365</v>
      </c>
      <c r="L482" t="s">
        <v>1392</v>
      </c>
      <c r="M482" t="s">
        <v>1422</v>
      </c>
      <c r="N482" t="s">
        <v>1425</v>
      </c>
      <c r="O482" t="s">
        <v>1428</v>
      </c>
      <c r="P482" t="s">
        <v>1429</v>
      </c>
      <c r="Q482">
        <v>35</v>
      </c>
      <c r="R482" s="2">
        <v>8457780304064</v>
      </c>
      <c r="S482" s="3" t="s">
        <v>1083</v>
      </c>
      <c r="T482" t="s">
        <v>1313</v>
      </c>
      <c r="U482" t="s">
        <v>1314</v>
      </c>
    </row>
    <row r="483" spans="1:21" x14ac:dyDescent="0.25">
      <c r="A483" t="s">
        <v>433</v>
      </c>
      <c r="B483" t="s">
        <v>2250</v>
      </c>
      <c r="C483" t="s">
        <v>435</v>
      </c>
      <c r="D483" t="s">
        <v>1461</v>
      </c>
      <c r="E483" t="str">
        <f>+CONCATENATE(D483,". FABRICADO EN ",M483,". PUNTERA DE ",N483,". PLANTILLA ",O483,". SUELA DE ",P483)</f>
        <v>ZAPATO MF S3+CI+SRC+ESD Negro 36. FABRICADO EN MICROFIBRA ACABADO NOBUCK. PUNTERA DE Fibra de vidrio. PLANTILLA Antiperforación textil. SUELA DE PU/PU DOBLE DENSIDAD</v>
      </c>
      <c r="F483" t="str">
        <f>PROPER(E483)</f>
        <v>Zapato Mf S3+Ci+Src+Esd Negro 36. Fabricado En Microfibra Acabado Nobuck. Puntera De Fibra De Vidrio. Plantilla Antiperforación Textil. Suela De Pu/Pu Doble Densidad</v>
      </c>
      <c r="G483" s="24">
        <f>VLOOKUP(B483,Tabla1[],2,0)</f>
        <v>24.56</v>
      </c>
      <c r="H483" s="24">
        <f>+G483/0.72</f>
        <v>34.111111111111107</v>
      </c>
      <c r="I483" s="24">
        <f>+H483*1.21</f>
        <v>41.274444444444441</v>
      </c>
      <c r="J483" s="24" t="s">
        <v>2359</v>
      </c>
      <c r="K483" s="24" t="s">
        <v>2365</v>
      </c>
      <c r="L483" t="s">
        <v>1392</v>
      </c>
      <c r="M483" t="s">
        <v>1422</v>
      </c>
      <c r="N483" t="s">
        <v>1425</v>
      </c>
      <c r="O483" t="s">
        <v>1428</v>
      </c>
      <c r="P483" t="s">
        <v>1429</v>
      </c>
      <c r="Q483">
        <v>36</v>
      </c>
      <c r="R483" s="2">
        <v>8457780269080</v>
      </c>
      <c r="S483" s="3" t="s">
        <v>1084</v>
      </c>
      <c r="T483" t="s">
        <v>1313</v>
      </c>
      <c r="U483" t="s">
        <v>1314</v>
      </c>
    </row>
    <row r="484" spans="1:21" x14ac:dyDescent="0.25">
      <c r="A484" t="s">
        <v>433</v>
      </c>
      <c r="B484" t="s">
        <v>2250</v>
      </c>
      <c r="C484" t="s">
        <v>436</v>
      </c>
      <c r="D484" t="s">
        <v>1462</v>
      </c>
      <c r="E484" t="str">
        <f>+CONCATENATE(D484,". FABRICADO EN ",M484,". PUNTERA DE ",N484,". PLANTILLA ",O484,". SUELA DE ",P484)</f>
        <v>ZAPATO MF S3+CI+SRC+ESD Negro 37. FABRICADO EN MICROFIBRA ACABADO NOBUCK. PUNTERA DE Fibra de vidrio. PLANTILLA Antiperforación textil. SUELA DE PU/PU DOBLE DENSIDAD</v>
      </c>
      <c r="F484" t="str">
        <f>PROPER(E484)</f>
        <v>Zapato Mf S3+Ci+Src+Esd Negro 37. Fabricado En Microfibra Acabado Nobuck. Puntera De Fibra De Vidrio. Plantilla Antiperforación Textil. Suela De Pu/Pu Doble Densidad</v>
      </c>
      <c r="G484" s="24">
        <f>VLOOKUP(B484,Tabla1[],2,0)</f>
        <v>24.56</v>
      </c>
      <c r="H484" s="24">
        <f>+G484/0.72</f>
        <v>34.111111111111107</v>
      </c>
      <c r="I484" s="24">
        <f>+H484*1.21</f>
        <v>41.274444444444441</v>
      </c>
      <c r="J484" s="24" t="s">
        <v>2359</v>
      </c>
      <c r="K484" s="24" t="s">
        <v>2365</v>
      </c>
      <c r="L484" t="s">
        <v>1392</v>
      </c>
      <c r="M484" t="s">
        <v>1422</v>
      </c>
      <c r="N484" t="s">
        <v>1425</v>
      </c>
      <c r="O484" t="s">
        <v>1428</v>
      </c>
      <c r="P484" t="s">
        <v>1429</v>
      </c>
      <c r="Q484">
        <v>37</v>
      </c>
      <c r="R484" s="2">
        <v>8457780269097</v>
      </c>
      <c r="S484" s="3" t="s">
        <v>1085</v>
      </c>
      <c r="T484" t="s">
        <v>1313</v>
      </c>
      <c r="U484" t="s">
        <v>1314</v>
      </c>
    </row>
    <row r="485" spans="1:21" x14ac:dyDescent="0.25">
      <c r="A485" t="s">
        <v>433</v>
      </c>
      <c r="B485" t="s">
        <v>2250</v>
      </c>
      <c r="C485" t="s">
        <v>437</v>
      </c>
      <c r="D485" t="s">
        <v>1463</v>
      </c>
      <c r="E485" t="str">
        <f>+CONCATENATE(D485,". FABRICADO EN ",M485,". PUNTERA DE ",N485,". PLANTILLA ",O485,". SUELA DE ",P485)</f>
        <v>ZAPATO MF S3+CI+SRC+ESD Negro 38. FABRICADO EN MICROFIBRA ACABADO NOBUCK. PUNTERA DE Fibra de vidrio. PLANTILLA Antiperforación textil. SUELA DE PU/PU DOBLE DENSIDAD</v>
      </c>
      <c r="F485" t="str">
        <f>PROPER(E485)</f>
        <v>Zapato Mf S3+Ci+Src+Esd Negro 38. Fabricado En Microfibra Acabado Nobuck. Puntera De Fibra De Vidrio. Plantilla Antiperforación Textil. Suela De Pu/Pu Doble Densidad</v>
      </c>
      <c r="G485" s="24">
        <f>VLOOKUP(B485,Tabla1[],2,0)</f>
        <v>24.56</v>
      </c>
      <c r="H485" s="24">
        <f>+G485/0.72</f>
        <v>34.111111111111107</v>
      </c>
      <c r="I485" s="24">
        <f>+H485*1.21</f>
        <v>41.274444444444441</v>
      </c>
      <c r="J485" s="24" t="s">
        <v>2359</v>
      </c>
      <c r="K485" s="24" t="s">
        <v>2365</v>
      </c>
      <c r="L485" t="s">
        <v>1392</v>
      </c>
      <c r="M485" t="s">
        <v>1422</v>
      </c>
      <c r="N485" t="s">
        <v>1425</v>
      </c>
      <c r="O485" t="s">
        <v>1428</v>
      </c>
      <c r="P485" t="s">
        <v>1429</v>
      </c>
      <c r="Q485">
        <v>38</v>
      </c>
      <c r="R485" s="2">
        <v>8457780269103</v>
      </c>
      <c r="S485" s="3" t="s">
        <v>1086</v>
      </c>
      <c r="T485" t="s">
        <v>1313</v>
      </c>
      <c r="U485" t="s">
        <v>1314</v>
      </c>
    </row>
    <row r="486" spans="1:21" x14ac:dyDescent="0.25">
      <c r="A486" t="s">
        <v>433</v>
      </c>
      <c r="B486" t="s">
        <v>2250</v>
      </c>
      <c r="C486" t="s">
        <v>438</v>
      </c>
      <c r="D486" t="s">
        <v>1464</v>
      </c>
      <c r="E486" t="str">
        <f>+CONCATENATE(D486,". FABRICADO EN ",M486,". PUNTERA DE ",N486,". PLANTILLA ",O486,". SUELA DE ",P486)</f>
        <v>ZAPATO MF S3+CI+SRC+ESD Negro 39. FABRICADO EN MICROFIBRA ACABADO NOBUCK. PUNTERA DE Fibra de vidrio. PLANTILLA Antiperforación textil. SUELA DE PU/PU DOBLE DENSIDAD</v>
      </c>
      <c r="F486" t="str">
        <f>PROPER(E486)</f>
        <v>Zapato Mf S3+Ci+Src+Esd Negro 39. Fabricado En Microfibra Acabado Nobuck. Puntera De Fibra De Vidrio. Plantilla Antiperforación Textil. Suela De Pu/Pu Doble Densidad</v>
      </c>
      <c r="G486" s="24">
        <f>VLOOKUP(B486,Tabla1[],2,0)</f>
        <v>24.56</v>
      </c>
      <c r="H486" s="24">
        <f>+G486/0.72</f>
        <v>34.111111111111107</v>
      </c>
      <c r="I486" s="24">
        <f>+H486*1.21</f>
        <v>41.274444444444441</v>
      </c>
      <c r="J486" s="24" t="s">
        <v>2359</v>
      </c>
      <c r="K486" s="24" t="s">
        <v>2365</v>
      </c>
      <c r="L486" t="s">
        <v>1392</v>
      </c>
      <c r="M486" t="s">
        <v>1422</v>
      </c>
      <c r="N486" t="s">
        <v>1425</v>
      </c>
      <c r="O486" t="s">
        <v>1428</v>
      </c>
      <c r="P486" t="s">
        <v>1429</v>
      </c>
      <c r="Q486">
        <v>39</v>
      </c>
      <c r="R486" s="2">
        <v>8457780269110</v>
      </c>
      <c r="S486" s="3" t="s">
        <v>1087</v>
      </c>
      <c r="T486" t="s">
        <v>1313</v>
      </c>
      <c r="U486" t="s">
        <v>1314</v>
      </c>
    </row>
    <row r="487" spans="1:21" x14ac:dyDescent="0.25">
      <c r="A487" t="s">
        <v>433</v>
      </c>
      <c r="B487" t="s">
        <v>2250</v>
      </c>
      <c r="C487" t="s">
        <v>439</v>
      </c>
      <c r="D487" t="s">
        <v>1465</v>
      </c>
      <c r="E487" t="str">
        <f>+CONCATENATE(D487,". FABRICADO EN ",M487,". PUNTERA DE ",N487,". PLANTILLA ",O487,". SUELA DE ",P487)</f>
        <v>ZAPATO MF S3+CI+SRC+ESD Negro 40. FABRICADO EN MICROFIBRA ACABADO NOBUCK. PUNTERA DE Fibra de vidrio. PLANTILLA Antiperforación textil. SUELA DE PU/PU DOBLE DENSIDAD</v>
      </c>
      <c r="F487" t="str">
        <f>PROPER(E487)</f>
        <v>Zapato Mf S3+Ci+Src+Esd Negro 40. Fabricado En Microfibra Acabado Nobuck. Puntera De Fibra De Vidrio. Plantilla Antiperforación Textil. Suela De Pu/Pu Doble Densidad</v>
      </c>
      <c r="G487" s="24">
        <f>VLOOKUP(B487,Tabla1[],2,0)</f>
        <v>24.56</v>
      </c>
      <c r="H487" s="24">
        <f>+G487/0.72</f>
        <v>34.111111111111107</v>
      </c>
      <c r="I487" s="24">
        <f>+H487*1.21</f>
        <v>41.274444444444441</v>
      </c>
      <c r="J487" s="24" t="s">
        <v>2359</v>
      </c>
      <c r="K487" s="24" t="s">
        <v>2365</v>
      </c>
      <c r="L487" t="s">
        <v>1392</v>
      </c>
      <c r="M487" t="s">
        <v>1422</v>
      </c>
      <c r="N487" t="s">
        <v>1425</v>
      </c>
      <c r="O487" t="s">
        <v>1428</v>
      </c>
      <c r="P487" t="s">
        <v>1429</v>
      </c>
      <c r="Q487">
        <v>40</v>
      </c>
      <c r="R487" s="2">
        <v>8457780269127</v>
      </c>
      <c r="S487" s="3" t="s">
        <v>1088</v>
      </c>
      <c r="T487" t="s">
        <v>1313</v>
      </c>
      <c r="U487" t="s">
        <v>1314</v>
      </c>
    </row>
    <row r="488" spans="1:21" x14ac:dyDescent="0.25">
      <c r="A488" t="s">
        <v>433</v>
      </c>
      <c r="B488" t="s">
        <v>2250</v>
      </c>
      <c r="C488" t="s">
        <v>440</v>
      </c>
      <c r="D488" t="s">
        <v>1466</v>
      </c>
      <c r="E488" t="str">
        <f>+CONCATENATE(D488,". FABRICADO EN ",M488,". PUNTERA DE ",N488,". PLANTILLA ",O488,". SUELA DE ",P488)</f>
        <v>ZAPATO MF S3+CI+SRC+ESD Negro 41. FABRICADO EN MICROFIBRA ACABADO NOBUCK. PUNTERA DE Fibra de vidrio. PLANTILLA Antiperforación textil. SUELA DE PU/PU DOBLE DENSIDAD</v>
      </c>
      <c r="F488" t="str">
        <f>PROPER(E488)</f>
        <v>Zapato Mf S3+Ci+Src+Esd Negro 41. Fabricado En Microfibra Acabado Nobuck. Puntera De Fibra De Vidrio. Plantilla Antiperforación Textil. Suela De Pu/Pu Doble Densidad</v>
      </c>
      <c r="G488" s="24">
        <f>VLOOKUP(B488,Tabla1[],2,0)</f>
        <v>24.56</v>
      </c>
      <c r="H488" s="24">
        <f>+G488/0.72</f>
        <v>34.111111111111107</v>
      </c>
      <c r="I488" s="24">
        <f>+H488*1.21</f>
        <v>41.274444444444441</v>
      </c>
      <c r="J488" s="24" t="s">
        <v>2359</v>
      </c>
      <c r="K488" s="24" t="s">
        <v>2365</v>
      </c>
      <c r="L488" t="s">
        <v>1392</v>
      </c>
      <c r="M488" t="s">
        <v>1422</v>
      </c>
      <c r="N488" t="s">
        <v>1425</v>
      </c>
      <c r="O488" t="s">
        <v>1428</v>
      </c>
      <c r="P488" t="s">
        <v>1429</v>
      </c>
      <c r="Q488">
        <v>41</v>
      </c>
      <c r="R488" s="2">
        <v>8457780269134</v>
      </c>
      <c r="S488" s="3" t="s">
        <v>1089</v>
      </c>
      <c r="T488" t="s">
        <v>1313</v>
      </c>
      <c r="U488" t="s">
        <v>1314</v>
      </c>
    </row>
    <row r="489" spans="1:21" x14ac:dyDescent="0.25">
      <c r="A489" t="s">
        <v>433</v>
      </c>
      <c r="B489" t="s">
        <v>2250</v>
      </c>
      <c r="C489" t="s">
        <v>441</v>
      </c>
      <c r="D489" t="s">
        <v>1467</v>
      </c>
      <c r="E489" t="str">
        <f>+CONCATENATE(D489,". FABRICADO EN ",M489,". PUNTERA DE ",N489,". PLANTILLA ",O489,". SUELA DE ",P489)</f>
        <v>ZAPATO MF S3+CI+SRC+ESD Negro 42. FABRICADO EN MICROFIBRA ACABADO NOBUCK. PUNTERA DE Fibra de vidrio. PLANTILLA Antiperforación textil. SUELA DE PU/PU DOBLE DENSIDAD</v>
      </c>
      <c r="F489" t="str">
        <f>PROPER(E489)</f>
        <v>Zapato Mf S3+Ci+Src+Esd Negro 42. Fabricado En Microfibra Acabado Nobuck. Puntera De Fibra De Vidrio. Plantilla Antiperforación Textil. Suela De Pu/Pu Doble Densidad</v>
      </c>
      <c r="G489" s="24">
        <f>VLOOKUP(B489,Tabla1[],2,0)</f>
        <v>24.56</v>
      </c>
      <c r="H489" s="24">
        <f>+G489/0.72</f>
        <v>34.111111111111107</v>
      </c>
      <c r="I489" s="24">
        <f>+H489*1.21</f>
        <v>41.274444444444441</v>
      </c>
      <c r="J489" s="24" t="s">
        <v>2359</v>
      </c>
      <c r="K489" s="24" t="s">
        <v>2365</v>
      </c>
      <c r="L489" t="s">
        <v>1392</v>
      </c>
      <c r="M489" t="s">
        <v>1422</v>
      </c>
      <c r="N489" t="s">
        <v>1425</v>
      </c>
      <c r="O489" t="s">
        <v>1428</v>
      </c>
      <c r="P489" t="s">
        <v>1429</v>
      </c>
      <c r="Q489">
        <v>42</v>
      </c>
      <c r="R489" s="2">
        <v>8457780269141</v>
      </c>
      <c r="S489" s="3" t="s">
        <v>1090</v>
      </c>
      <c r="T489" t="s">
        <v>1313</v>
      </c>
      <c r="U489" t="s">
        <v>1314</v>
      </c>
    </row>
    <row r="490" spans="1:21" x14ac:dyDescent="0.25">
      <c r="A490" t="s">
        <v>433</v>
      </c>
      <c r="B490" t="s">
        <v>2250</v>
      </c>
      <c r="C490" t="s">
        <v>442</v>
      </c>
      <c r="D490" t="s">
        <v>1468</v>
      </c>
      <c r="E490" t="str">
        <f>+CONCATENATE(D490,". FABRICADO EN ",M490,". PUNTERA DE ",N490,". PLANTILLA ",O490,". SUELA DE ",P490)</f>
        <v>ZAPATO MF S3+CI+SRC+ESD Negro 43. FABRICADO EN MICROFIBRA ACABADO NOBUCK. PUNTERA DE Fibra de vidrio. PLANTILLA Antiperforación textil. SUELA DE PU/PU DOBLE DENSIDAD</v>
      </c>
      <c r="F490" t="str">
        <f>PROPER(E490)</f>
        <v>Zapato Mf S3+Ci+Src+Esd Negro 43. Fabricado En Microfibra Acabado Nobuck. Puntera De Fibra De Vidrio. Plantilla Antiperforación Textil. Suela De Pu/Pu Doble Densidad</v>
      </c>
      <c r="G490" s="24">
        <f>VLOOKUP(B490,Tabla1[],2,0)</f>
        <v>24.56</v>
      </c>
      <c r="H490" s="24">
        <f>+G490/0.72</f>
        <v>34.111111111111107</v>
      </c>
      <c r="I490" s="24">
        <f>+H490*1.21</f>
        <v>41.274444444444441</v>
      </c>
      <c r="J490" s="24" t="s">
        <v>2359</v>
      </c>
      <c r="K490" s="24" t="s">
        <v>2365</v>
      </c>
      <c r="L490" t="s">
        <v>1392</v>
      </c>
      <c r="M490" t="s">
        <v>1422</v>
      </c>
      <c r="N490" t="s">
        <v>1425</v>
      </c>
      <c r="O490" t="s">
        <v>1428</v>
      </c>
      <c r="P490" t="s">
        <v>1429</v>
      </c>
      <c r="Q490">
        <v>43</v>
      </c>
      <c r="R490" s="2">
        <v>8457780269158</v>
      </c>
      <c r="S490" s="3" t="s">
        <v>1091</v>
      </c>
      <c r="T490" t="s">
        <v>1313</v>
      </c>
      <c r="U490" t="s">
        <v>1314</v>
      </c>
    </row>
    <row r="491" spans="1:21" x14ac:dyDescent="0.25">
      <c r="A491" t="s">
        <v>433</v>
      </c>
      <c r="B491" t="s">
        <v>2250</v>
      </c>
      <c r="C491" t="s">
        <v>443</v>
      </c>
      <c r="D491" t="s">
        <v>1469</v>
      </c>
      <c r="E491" t="str">
        <f>+CONCATENATE(D491,". FABRICADO EN ",M491,". PUNTERA DE ",N491,". PLANTILLA ",O491,". SUELA DE ",P491)</f>
        <v>ZAPATO MF S3+CI+SRC+ESD Negro 44. FABRICADO EN MICROFIBRA ACABADO NOBUCK. PUNTERA DE Fibra de vidrio. PLANTILLA Antiperforación textil. SUELA DE PU/PU DOBLE DENSIDAD</v>
      </c>
      <c r="F491" t="str">
        <f>PROPER(E491)</f>
        <v>Zapato Mf S3+Ci+Src+Esd Negro 44. Fabricado En Microfibra Acabado Nobuck. Puntera De Fibra De Vidrio. Plantilla Antiperforación Textil. Suela De Pu/Pu Doble Densidad</v>
      </c>
      <c r="G491" s="24">
        <f>VLOOKUP(B491,Tabla1[],2,0)</f>
        <v>24.56</v>
      </c>
      <c r="H491" s="24">
        <f>+G491/0.72</f>
        <v>34.111111111111107</v>
      </c>
      <c r="I491" s="24">
        <f>+H491*1.21</f>
        <v>41.274444444444441</v>
      </c>
      <c r="J491" s="24" t="s">
        <v>2359</v>
      </c>
      <c r="K491" s="24" t="s">
        <v>2365</v>
      </c>
      <c r="L491" t="s">
        <v>1392</v>
      </c>
      <c r="M491" t="s">
        <v>1422</v>
      </c>
      <c r="N491" t="s">
        <v>1425</v>
      </c>
      <c r="O491" t="s">
        <v>1428</v>
      </c>
      <c r="P491" t="s">
        <v>1429</v>
      </c>
      <c r="Q491">
        <v>44</v>
      </c>
      <c r="R491" s="2">
        <v>8457780269165</v>
      </c>
      <c r="S491" s="3" t="s">
        <v>1092</v>
      </c>
      <c r="T491" t="s">
        <v>1313</v>
      </c>
      <c r="U491" t="s">
        <v>1314</v>
      </c>
    </row>
    <row r="492" spans="1:21" x14ac:dyDescent="0.25">
      <c r="A492" t="s">
        <v>433</v>
      </c>
      <c r="B492" t="s">
        <v>2250</v>
      </c>
      <c r="C492" t="s">
        <v>444</v>
      </c>
      <c r="D492" t="s">
        <v>1470</v>
      </c>
      <c r="E492" t="str">
        <f>+CONCATENATE(D492,". FABRICADO EN ",M492,". PUNTERA DE ",N492,". PLANTILLA ",O492,". SUELA DE ",P492)</f>
        <v>ZAPATO MF S3+CI+SRC+ESD Negro 45. FABRICADO EN MICROFIBRA ACABADO NOBUCK. PUNTERA DE Fibra de vidrio. PLANTILLA Antiperforación textil. SUELA DE PU/PU DOBLE DENSIDAD</v>
      </c>
      <c r="F492" t="str">
        <f>PROPER(E492)</f>
        <v>Zapato Mf S3+Ci+Src+Esd Negro 45. Fabricado En Microfibra Acabado Nobuck. Puntera De Fibra De Vidrio. Plantilla Antiperforación Textil. Suela De Pu/Pu Doble Densidad</v>
      </c>
      <c r="G492" s="24">
        <f>VLOOKUP(B492,Tabla1[],2,0)</f>
        <v>24.56</v>
      </c>
      <c r="H492" s="24">
        <f>+G492/0.72</f>
        <v>34.111111111111107</v>
      </c>
      <c r="I492" s="24">
        <f>+H492*1.21</f>
        <v>41.274444444444441</v>
      </c>
      <c r="J492" s="24" t="s">
        <v>2359</v>
      </c>
      <c r="K492" s="24" t="s">
        <v>2365</v>
      </c>
      <c r="L492" t="s">
        <v>1392</v>
      </c>
      <c r="M492" t="s">
        <v>1422</v>
      </c>
      <c r="N492" t="s">
        <v>1425</v>
      </c>
      <c r="O492" t="s">
        <v>1428</v>
      </c>
      <c r="P492" t="s">
        <v>1429</v>
      </c>
      <c r="Q492">
        <v>45</v>
      </c>
      <c r="R492" s="2">
        <v>8457780269172</v>
      </c>
      <c r="S492" s="3" t="s">
        <v>1093</v>
      </c>
      <c r="T492" t="s">
        <v>1313</v>
      </c>
      <c r="U492" t="s">
        <v>1314</v>
      </c>
    </row>
    <row r="493" spans="1:21" x14ac:dyDescent="0.25">
      <c r="A493" t="s">
        <v>433</v>
      </c>
      <c r="B493" t="s">
        <v>2250</v>
      </c>
      <c r="C493" t="s">
        <v>445</v>
      </c>
      <c r="D493" t="s">
        <v>1471</v>
      </c>
      <c r="E493" t="str">
        <f>+CONCATENATE(D493,". FABRICADO EN ",M493,". PUNTERA DE ",N493,". PLANTILLA ",O493,". SUELA DE ",P493)</f>
        <v>ZAPATO MF S3+CI+SRC+ESD Negro 46. FABRICADO EN MICROFIBRA ACABADO NOBUCK. PUNTERA DE Fibra de vidrio. PLANTILLA Antiperforación textil. SUELA DE PU/PU DOBLE DENSIDAD</v>
      </c>
      <c r="F493" t="str">
        <f>PROPER(E493)</f>
        <v>Zapato Mf S3+Ci+Src+Esd Negro 46. Fabricado En Microfibra Acabado Nobuck. Puntera De Fibra De Vidrio. Plantilla Antiperforación Textil. Suela De Pu/Pu Doble Densidad</v>
      </c>
      <c r="G493" s="24">
        <f>VLOOKUP(B493,Tabla1[],2,0)</f>
        <v>24.56</v>
      </c>
      <c r="H493" s="24">
        <f>+G493/0.72</f>
        <v>34.111111111111107</v>
      </c>
      <c r="I493" s="24">
        <f>+H493*1.21</f>
        <v>41.274444444444441</v>
      </c>
      <c r="J493" s="24" t="s">
        <v>2359</v>
      </c>
      <c r="K493" s="24" t="s">
        <v>2365</v>
      </c>
      <c r="L493" t="s">
        <v>1392</v>
      </c>
      <c r="M493" t="s">
        <v>1422</v>
      </c>
      <c r="N493" t="s">
        <v>1425</v>
      </c>
      <c r="O493" t="s">
        <v>1428</v>
      </c>
      <c r="P493" t="s">
        <v>1429</v>
      </c>
      <c r="Q493">
        <v>46</v>
      </c>
      <c r="R493" s="2">
        <v>8457780269189</v>
      </c>
      <c r="S493" s="3" t="s">
        <v>1094</v>
      </c>
      <c r="T493" t="s">
        <v>1313</v>
      </c>
      <c r="U493" t="s">
        <v>1314</v>
      </c>
    </row>
    <row r="494" spans="1:21" x14ac:dyDescent="0.25">
      <c r="A494" t="s">
        <v>433</v>
      </c>
      <c r="B494" t="s">
        <v>2250</v>
      </c>
      <c r="C494" t="s">
        <v>446</v>
      </c>
      <c r="D494" t="s">
        <v>1472</v>
      </c>
      <c r="E494" t="str">
        <f>+CONCATENATE(D494,". FABRICADO EN ",M494,". PUNTERA DE ",N494,". PLANTILLA ",O494,". SUELA DE ",P494)</f>
        <v>ZAPATO MF S3+CI+SRC+ESD Negro 47. FABRICADO EN MICROFIBRA ACABADO NOBUCK. PUNTERA DE Fibra de vidrio. PLANTILLA Antiperforación textil. SUELA DE PU/PU DOBLE DENSIDAD</v>
      </c>
      <c r="F494" t="str">
        <f>PROPER(E494)</f>
        <v>Zapato Mf S3+Ci+Src+Esd Negro 47. Fabricado En Microfibra Acabado Nobuck. Puntera De Fibra De Vidrio. Plantilla Antiperforación Textil. Suela De Pu/Pu Doble Densidad</v>
      </c>
      <c r="G494" s="24">
        <f>VLOOKUP(B494,Tabla1[],2,0)</f>
        <v>24.56</v>
      </c>
      <c r="H494" s="24">
        <f>+G494/0.72</f>
        <v>34.111111111111107</v>
      </c>
      <c r="I494" s="24">
        <f>+H494*1.21</f>
        <v>41.274444444444441</v>
      </c>
      <c r="J494" s="24" t="s">
        <v>2359</v>
      </c>
      <c r="K494" s="24" t="s">
        <v>2365</v>
      </c>
      <c r="L494" t="s">
        <v>1392</v>
      </c>
      <c r="M494" t="s">
        <v>1422</v>
      </c>
      <c r="N494" t="s">
        <v>1425</v>
      </c>
      <c r="O494" t="s">
        <v>1428</v>
      </c>
      <c r="P494" t="s">
        <v>1429</v>
      </c>
      <c r="Q494">
        <v>47</v>
      </c>
      <c r="R494" s="2">
        <v>8457780269196</v>
      </c>
      <c r="S494" s="3" t="s">
        <v>1095</v>
      </c>
      <c r="T494" t="s">
        <v>1313</v>
      </c>
      <c r="U494" t="s">
        <v>1314</v>
      </c>
    </row>
    <row r="495" spans="1:21" x14ac:dyDescent="0.25">
      <c r="A495" t="s">
        <v>433</v>
      </c>
      <c r="B495" t="s">
        <v>2250</v>
      </c>
      <c r="C495" t="s">
        <v>447</v>
      </c>
      <c r="D495" t="s">
        <v>1473</v>
      </c>
      <c r="E495" t="str">
        <f>+CONCATENATE(D495,". FABRICADO EN ",M495,". PUNTERA DE ",N495,". PLANTILLA ",O495,". SUELA DE ",P495)</f>
        <v>ZAPATO MF S3+CI+SRC+ESD Negro 48. FABRICADO EN MICROFIBRA ACABADO NOBUCK. PUNTERA DE Fibra de vidrio. PLANTILLA Antiperforación textil. SUELA DE PU/PU DOBLE DENSIDAD</v>
      </c>
      <c r="F495" t="str">
        <f>PROPER(E495)</f>
        <v>Zapato Mf S3+Ci+Src+Esd Negro 48. Fabricado En Microfibra Acabado Nobuck. Puntera De Fibra De Vidrio. Plantilla Antiperforación Textil. Suela De Pu/Pu Doble Densidad</v>
      </c>
      <c r="G495" s="24">
        <f>VLOOKUP(B495,Tabla1[],2,0)</f>
        <v>24.56</v>
      </c>
      <c r="H495" s="24">
        <f>+G495/0.72</f>
        <v>34.111111111111107</v>
      </c>
      <c r="I495" s="24">
        <f>+H495*1.21</f>
        <v>41.274444444444441</v>
      </c>
      <c r="J495" s="24" t="s">
        <v>2359</v>
      </c>
      <c r="K495" s="24" t="s">
        <v>2365</v>
      </c>
      <c r="L495" t="s">
        <v>1392</v>
      </c>
      <c r="M495" t="s">
        <v>1422</v>
      </c>
      <c r="N495" t="s">
        <v>1425</v>
      </c>
      <c r="O495" t="s">
        <v>1428</v>
      </c>
      <c r="P495" t="s">
        <v>1429</v>
      </c>
      <c r="Q495">
        <v>48</v>
      </c>
      <c r="R495" s="2">
        <v>8457780304071</v>
      </c>
      <c r="S495" s="3" t="s">
        <v>1096</v>
      </c>
      <c r="T495" t="s">
        <v>1313</v>
      </c>
      <c r="U495" t="s">
        <v>1314</v>
      </c>
    </row>
    <row r="496" spans="1:21" x14ac:dyDescent="0.25">
      <c r="A496" t="s">
        <v>433</v>
      </c>
      <c r="B496" t="s">
        <v>2250</v>
      </c>
      <c r="C496" t="s">
        <v>2033</v>
      </c>
      <c r="D496" t="s">
        <v>2034</v>
      </c>
      <c r="E496" t="str">
        <f>+CONCATENATE(D496,". FABRICADO EN ",M496,". PUNTERA DE ",N496,". PLANTILLA ",O496,". SUELA DE ",P496)</f>
        <v>ZAPATO MF S3+CI+SRC+ESD Negro 49. FABRICADO EN MICROFIBRA ACABADO NOBUCK. PUNTERA DE Fibra de vidrio. PLANTILLA Antiperforación textil. SUELA DE PU/PU DOBLE DENSIDAD</v>
      </c>
      <c r="F496" t="str">
        <f>PROPER(E496)</f>
        <v>Zapato Mf S3+Ci+Src+Esd Negro 49. Fabricado En Microfibra Acabado Nobuck. Puntera De Fibra De Vidrio. Plantilla Antiperforación Textil. Suela De Pu/Pu Doble Densidad</v>
      </c>
      <c r="G496" s="24">
        <f>VLOOKUP(B496,Tabla1[],2,0)</f>
        <v>24.56</v>
      </c>
      <c r="H496" s="24">
        <f>+G496/0.72</f>
        <v>34.111111111111107</v>
      </c>
      <c r="I496" s="24">
        <f>+H496*1.21</f>
        <v>41.274444444444441</v>
      </c>
      <c r="J496" s="24" t="s">
        <v>2359</v>
      </c>
      <c r="K496" s="24" t="s">
        <v>2365</v>
      </c>
      <c r="L496" t="s">
        <v>1392</v>
      </c>
      <c r="M496" t="s">
        <v>1422</v>
      </c>
      <c r="N496" t="s">
        <v>1425</v>
      </c>
      <c r="O496" t="s">
        <v>1428</v>
      </c>
      <c r="P496" t="s">
        <v>1429</v>
      </c>
      <c r="Q496">
        <v>49</v>
      </c>
      <c r="R496" s="3">
        <v>8457780347153</v>
      </c>
      <c r="S496" s="3">
        <v>18457780347150</v>
      </c>
      <c r="T496" t="s">
        <v>1313</v>
      </c>
      <c r="U496" t="s">
        <v>2037</v>
      </c>
    </row>
    <row r="497" spans="1:21" x14ac:dyDescent="0.25">
      <c r="A497" t="s">
        <v>433</v>
      </c>
      <c r="B497" t="s">
        <v>2250</v>
      </c>
      <c r="C497" t="s">
        <v>2035</v>
      </c>
      <c r="D497" t="s">
        <v>2036</v>
      </c>
      <c r="E497" t="str">
        <f>+CONCATENATE(D497,". FABRICADO EN ",M497,". PUNTERA DE ",N497,". PLANTILLA ",O497,". SUELA DE ",P497)</f>
        <v>ZAPATO MF S3+CI+SRC+ESD Negro 50. FABRICADO EN MICROFIBRA ACABADO NOBUCK. PUNTERA DE Fibra de vidrio. PLANTILLA Antiperforación textil. SUELA DE PU/PU DOBLE DENSIDAD</v>
      </c>
      <c r="F497" t="str">
        <f>PROPER(E497)</f>
        <v>Zapato Mf S3+Ci+Src+Esd Negro 50. Fabricado En Microfibra Acabado Nobuck. Puntera De Fibra De Vidrio. Plantilla Antiperforación Textil. Suela De Pu/Pu Doble Densidad</v>
      </c>
      <c r="G497" s="24">
        <f>VLOOKUP(B497,Tabla1[],2,0)</f>
        <v>24.56</v>
      </c>
      <c r="H497" s="24">
        <f>+G497/0.72</f>
        <v>34.111111111111107</v>
      </c>
      <c r="I497" s="24">
        <f>+H497*1.21</f>
        <v>41.274444444444441</v>
      </c>
      <c r="J497" s="24" t="s">
        <v>2359</v>
      </c>
      <c r="K497" s="24" t="s">
        <v>2365</v>
      </c>
      <c r="L497" t="s">
        <v>1392</v>
      </c>
      <c r="M497" t="s">
        <v>1422</v>
      </c>
      <c r="N497" t="s">
        <v>1425</v>
      </c>
      <c r="O497" t="s">
        <v>1428</v>
      </c>
      <c r="P497" t="s">
        <v>1429</v>
      </c>
      <c r="Q497">
        <v>50</v>
      </c>
      <c r="R497" s="3">
        <v>8457780347160</v>
      </c>
      <c r="S497" s="3">
        <v>18457780347167</v>
      </c>
      <c r="T497" t="s">
        <v>1313</v>
      </c>
      <c r="U497" t="s">
        <v>2038</v>
      </c>
    </row>
    <row r="498" spans="1:21" x14ac:dyDescent="0.25">
      <c r="A498" t="s">
        <v>448</v>
      </c>
      <c r="B498" t="s">
        <v>2251</v>
      </c>
      <c r="C498" t="s">
        <v>449</v>
      </c>
      <c r="D498" t="s">
        <v>1804</v>
      </c>
      <c r="E498" t="str">
        <f>+CONCATENATE(D498,". FABRICADO EN ",M498,". PUNTERA DE ",N498,". PLANTILLA ",O498,". SUELA DE ",P498)</f>
        <v>BOTA SOLDADOR S3S+CI+HI+FO+SR METAL FREE Negro 35. FABRICADO EN PIEL GRABADA. PUNTERA DE Fibra de vidrio. PLANTILLA Antiperforación textil. SUELA DE PU/PU DOBLE DENSIDAD</v>
      </c>
      <c r="F498" t="str">
        <f>PROPER(E498)</f>
        <v>Bota Soldador S3S+Ci+Hi+Fo+Sr Metal Free Negro 35. Fabricado En Piel Grabada. Puntera De Fibra De Vidrio. Plantilla Antiperforación Textil. Suela De Pu/Pu Doble Densidad</v>
      </c>
      <c r="G498" s="24">
        <f>VLOOKUP(B498,Tabla1[],2,0)</f>
        <v>15.5</v>
      </c>
      <c r="H498" s="24">
        <f>+G498/0.7</f>
        <v>22.142857142857146</v>
      </c>
      <c r="I498" s="24">
        <f>+H498*1.21</f>
        <v>26.792857142857144</v>
      </c>
      <c r="J498" s="24" t="s">
        <v>2326</v>
      </c>
      <c r="K498" s="24" t="s">
        <v>2365</v>
      </c>
      <c r="L498" t="s">
        <v>1392</v>
      </c>
      <c r="M498" t="s">
        <v>1415</v>
      </c>
      <c r="N498" t="s">
        <v>1425</v>
      </c>
      <c r="O498" t="s">
        <v>1428</v>
      </c>
      <c r="P498" t="s">
        <v>1429</v>
      </c>
      <c r="Q498">
        <v>35</v>
      </c>
      <c r="R498" s="2">
        <v>8457780330551</v>
      </c>
      <c r="S498" s="3" t="s">
        <v>1097</v>
      </c>
      <c r="T498" t="s">
        <v>1363</v>
      </c>
      <c r="U498" t="s">
        <v>1364</v>
      </c>
    </row>
    <row r="499" spans="1:21" x14ac:dyDescent="0.25">
      <c r="A499" t="s">
        <v>448</v>
      </c>
      <c r="B499" t="s">
        <v>2251</v>
      </c>
      <c r="C499" t="s">
        <v>450</v>
      </c>
      <c r="D499" t="s">
        <v>1805</v>
      </c>
      <c r="E499" t="str">
        <f>+CONCATENATE(D499,". FABRICADO EN ",M499,". PUNTERA DE ",N499,". PLANTILLA ",O499,". SUELA DE ",P499)</f>
        <v>BOTA SOLDADOR S3S+CI+HI+FO+SR METAL FREE Negro 36. FABRICADO EN PIEL GRABADA. PUNTERA DE Fibra de vidrio. PLANTILLA Antiperforación textil. SUELA DE PU/PU DOBLE DENSIDAD</v>
      </c>
      <c r="F499" t="str">
        <f>PROPER(E499)</f>
        <v>Bota Soldador S3S+Ci+Hi+Fo+Sr Metal Free Negro 36. Fabricado En Piel Grabada. Puntera De Fibra De Vidrio. Plantilla Antiperforación Textil. Suela De Pu/Pu Doble Densidad</v>
      </c>
      <c r="G499" s="24">
        <f>VLOOKUP(B499,Tabla1[],2,0)</f>
        <v>15.5</v>
      </c>
      <c r="H499" s="24">
        <f>+G499/0.7</f>
        <v>22.142857142857146</v>
      </c>
      <c r="I499" s="24">
        <f>+H499*1.21</f>
        <v>26.792857142857144</v>
      </c>
      <c r="J499" s="24" t="s">
        <v>2326</v>
      </c>
      <c r="K499" s="24" t="s">
        <v>2365</v>
      </c>
      <c r="L499" t="s">
        <v>1392</v>
      </c>
      <c r="M499" t="s">
        <v>1415</v>
      </c>
      <c r="N499" t="s">
        <v>1425</v>
      </c>
      <c r="O499" t="s">
        <v>1428</v>
      </c>
      <c r="P499" t="s">
        <v>1429</v>
      </c>
      <c r="Q499">
        <v>36</v>
      </c>
      <c r="R499" s="2">
        <v>8457780330568</v>
      </c>
      <c r="S499" s="3" t="s">
        <v>1098</v>
      </c>
      <c r="T499" t="s">
        <v>1363</v>
      </c>
      <c r="U499" t="s">
        <v>1364</v>
      </c>
    </row>
    <row r="500" spans="1:21" x14ac:dyDescent="0.25">
      <c r="A500" t="s">
        <v>448</v>
      </c>
      <c r="B500" t="s">
        <v>2251</v>
      </c>
      <c r="C500" t="s">
        <v>451</v>
      </c>
      <c r="D500" t="s">
        <v>1806</v>
      </c>
      <c r="E500" t="str">
        <f>+CONCATENATE(D500,". FABRICADO EN ",M500,". PUNTERA DE ",N500,". PLANTILLA ",O500,". SUELA DE ",P500)</f>
        <v>BOTA SOLDADOR S3S+CI+HI+FO+SR METAL FREE Negro 37. FABRICADO EN PIEL GRABADA. PUNTERA DE Fibra de vidrio. PLANTILLA Antiperforación textil. SUELA DE PU/PU DOBLE DENSIDAD</v>
      </c>
      <c r="F500" t="str">
        <f>PROPER(E500)</f>
        <v>Bota Soldador S3S+Ci+Hi+Fo+Sr Metal Free Negro 37. Fabricado En Piel Grabada. Puntera De Fibra De Vidrio. Plantilla Antiperforación Textil. Suela De Pu/Pu Doble Densidad</v>
      </c>
      <c r="G500" s="24">
        <f>VLOOKUP(B500,Tabla1[],2,0)</f>
        <v>15.5</v>
      </c>
      <c r="H500" s="24">
        <f>+G500/0.7</f>
        <v>22.142857142857146</v>
      </c>
      <c r="I500" s="24">
        <f>+H500*1.21</f>
        <v>26.792857142857144</v>
      </c>
      <c r="J500" s="24" t="s">
        <v>2326</v>
      </c>
      <c r="K500" s="24" t="s">
        <v>2365</v>
      </c>
      <c r="L500" t="s">
        <v>1392</v>
      </c>
      <c r="M500" t="s">
        <v>1415</v>
      </c>
      <c r="N500" t="s">
        <v>1425</v>
      </c>
      <c r="O500" t="s">
        <v>1428</v>
      </c>
      <c r="P500" t="s">
        <v>1429</v>
      </c>
      <c r="Q500">
        <v>37</v>
      </c>
      <c r="R500" s="2">
        <v>8457780330575</v>
      </c>
      <c r="S500" s="3" t="s">
        <v>1099</v>
      </c>
      <c r="T500" t="s">
        <v>1363</v>
      </c>
      <c r="U500" t="s">
        <v>1364</v>
      </c>
    </row>
    <row r="501" spans="1:21" x14ac:dyDescent="0.25">
      <c r="A501" t="s">
        <v>448</v>
      </c>
      <c r="B501" t="s">
        <v>2251</v>
      </c>
      <c r="C501" t="s">
        <v>452</v>
      </c>
      <c r="D501" t="s">
        <v>1807</v>
      </c>
      <c r="E501" t="str">
        <f>+CONCATENATE(D501,". FABRICADO EN ",M501,". PUNTERA DE ",N501,". PLANTILLA ",O501,". SUELA DE ",P501)</f>
        <v>BOTA SOLDADOR S3S+CI+HI+FO+SR METAL FREE Negro 38. FABRICADO EN PIEL GRABADA. PUNTERA DE Fibra de vidrio. PLANTILLA Antiperforación textil. SUELA DE PU/PU DOBLE DENSIDAD</v>
      </c>
      <c r="F501" t="str">
        <f>PROPER(E501)</f>
        <v>Bota Soldador S3S+Ci+Hi+Fo+Sr Metal Free Negro 38. Fabricado En Piel Grabada. Puntera De Fibra De Vidrio. Plantilla Antiperforación Textil. Suela De Pu/Pu Doble Densidad</v>
      </c>
      <c r="G501" s="24">
        <f>VLOOKUP(B501,Tabla1[],2,0)</f>
        <v>15.5</v>
      </c>
      <c r="H501" s="24">
        <f>+G501/0.7</f>
        <v>22.142857142857146</v>
      </c>
      <c r="I501" s="24">
        <f>+H501*1.21</f>
        <v>26.792857142857144</v>
      </c>
      <c r="J501" s="24" t="s">
        <v>2326</v>
      </c>
      <c r="K501" s="24" t="s">
        <v>2365</v>
      </c>
      <c r="L501" t="s">
        <v>1392</v>
      </c>
      <c r="M501" t="s">
        <v>1415</v>
      </c>
      <c r="N501" t="s">
        <v>1425</v>
      </c>
      <c r="O501" t="s">
        <v>1428</v>
      </c>
      <c r="P501" t="s">
        <v>1429</v>
      </c>
      <c r="Q501">
        <v>38</v>
      </c>
      <c r="R501" s="2">
        <v>8457780330582</v>
      </c>
      <c r="S501" s="3" t="s">
        <v>1100</v>
      </c>
      <c r="T501" t="s">
        <v>1363</v>
      </c>
      <c r="U501" t="s">
        <v>1364</v>
      </c>
    </row>
    <row r="502" spans="1:21" x14ac:dyDescent="0.25">
      <c r="A502" t="s">
        <v>448</v>
      </c>
      <c r="B502" t="s">
        <v>2251</v>
      </c>
      <c r="C502" t="s">
        <v>453</v>
      </c>
      <c r="D502" t="s">
        <v>1808</v>
      </c>
      <c r="E502" t="str">
        <f>+CONCATENATE(D502,". FABRICADO EN ",M502,". PUNTERA DE ",N502,". PLANTILLA ",O502,". SUELA DE ",P502)</f>
        <v>BOTA SOLDADOR S3S+CI+HI+FO+SR METAL FREE Negro 39. FABRICADO EN PIEL GRABADA. PUNTERA DE Fibra de vidrio. PLANTILLA Antiperforación textil. SUELA DE PU/PU DOBLE DENSIDAD</v>
      </c>
      <c r="F502" t="str">
        <f>PROPER(E502)</f>
        <v>Bota Soldador S3S+Ci+Hi+Fo+Sr Metal Free Negro 39. Fabricado En Piel Grabada. Puntera De Fibra De Vidrio. Plantilla Antiperforación Textil. Suela De Pu/Pu Doble Densidad</v>
      </c>
      <c r="G502" s="24">
        <f>VLOOKUP(B502,Tabla1[],2,0)</f>
        <v>15.5</v>
      </c>
      <c r="H502" s="24">
        <f>+G502/0.7</f>
        <v>22.142857142857146</v>
      </c>
      <c r="I502" s="24">
        <f>+H502*1.21</f>
        <v>26.792857142857144</v>
      </c>
      <c r="J502" s="24" t="s">
        <v>2326</v>
      </c>
      <c r="K502" s="24" t="s">
        <v>2365</v>
      </c>
      <c r="L502" t="s">
        <v>1392</v>
      </c>
      <c r="M502" t="s">
        <v>1415</v>
      </c>
      <c r="N502" t="s">
        <v>1425</v>
      </c>
      <c r="O502" t="s">
        <v>1428</v>
      </c>
      <c r="P502" t="s">
        <v>1429</v>
      </c>
      <c r="Q502">
        <v>39</v>
      </c>
      <c r="R502" s="2">
        <v>8457780330599</v>
      </c>
      <c r="S502" s="3" t="s">
        <v>1101</v>
      </c>
      <c r="T502" t="s">
        <v>1363</v>
      </c>
      <c r="U502" t="s">
        <v>1364</v>
      </c>
    </row>
    <row r="503" spans="1:21" x14ac:dyDescent="0.25">
      <c r="A503" t="s">
        <v>448</v>
      </c>
      <c r="B503" t="s">
        <v>2251</v>
      </c>
      <c r="C503" t="s">
        <v>454</v>
      </c>
      <c r="D503" t="s">
        <v>1809</v>
      </c>
      <c r="E503" t="str">
        <f>+CONCATENATE(D503,". FABRICADO EN ",M503,". PUNTERA DE ",N503,". PLANTILLA ",O503,". SUELA DE ",P503)</f>
        <v>BOTA SOLDADOR S3S+CI+HI+FO+SR METAL FREE Negro 40. FABRICADO EN PIEL GRABADA. PUNTERA DE Fibra de vidrio. PLANTILLA Antiperforación textil. SUELA DE PU/PU DOBLE DENSIDAD</v>
      </c>
      <c r="F503" t="str">
        <f>PROPER(E503)</f>
        <v>Bota Soldador S3S+Ci+Hi+Fo+Sr Metal Free Negro 40. Fabricado En Piel Grabada. Puntera De Fibra De Vidrio. Plantilla Antiperforación Textil. Suela De Pu/Pu Doble Densidad</v>
      </c>
      <c r="G503" s="24">
        <f>VLOOKUP(B503,Tabla1[],2,0)</f>
        <v>15.5</v>
      </c>
      <c r="H503" s="24">
        <f>+G503/0.7</f>
        <v>22.142857142857146</v>
      </c>
      <c r="I503" s="24">
        <f>+H503*1.21</f>
        <v>26.792857142857144</v>
      </c>
      <c r="J503" s="24" t="s">
        <v>2326</v>
      </c>
      <c r="K503" s="24" t="s">
        <v>2365</v>
      </c>
      <c r="L503" t="s">
        <v>1392</v>
      </c>
      <c r="M503" t="s">
        <v>1415</v>
      </c>
      <c r="N503" t="s">
        <v>1425</v>
      </c>
      <c r="O503" t="s">
        <v>1428</v>
      </c>
      <c r="P503" t="s">
        <v>1429</v>
      </c>
      <c r="Q503">
        <v>40</v>
      </c>
      <c r="R503" s="2">
        <v>8457780330605</v>
      </c>
      <c r="S503" s="3" t="s">
        <v>1102</v>
      </c>
      <c r="T503" t="s">
        <v>1363</v>
      </c>
      <c r="U503" t="s">
        <v>1364</v>
      </c>
    </row>
    <row r="504" spans="1:21" x14ac:dyDescent="0.25">
      <c r="A504" t="s">
        <v>448</v>
      </c>
      <c r="B504" t="s">
        <v>2251</v>
      </c>
      <c r="C504" t="s">
        <v>455</v>
      </c>
      <c r="D504" t="s">
        <v>1810</v>
      </c>
      <c r="E504" t="str">
        <f>+CONCATENATE(D504,". FABRICADO EN ",M504,". PUNTERA DE ",N504,". PLANTILLA ",O504,". SUELA DE ",P504)</f>
        <v>BOTA SOLDADOR S3S+CI+HI+FO+SR METAL FREE Negro 41. FABRICADO EN PIEL GRABADA. PUNTERA DE Fibra de vidrio. PLANTILLA Antiperforación textil. SUELA DE PU/PU DOBLE DENSIDAD</v>
      </c>
      <c r="F504" t="str">
        <f>PROPER(E504)</f>
        <v>Bota Soldador S3S+Ci+Hi+Fo+Sr Metal Free Negro 41. Fabricado En Piel Grabada. Puntera De Fibra De Vidrio. Plantilla Antiperforación Textil. Suela De Pu/Pu Doble Densidad</v>
      </c>
      <c r="G504" s="24">
        <f>VLOOKUP(B504,Tabla1[],2,0)</f>
        <v>15.5</v>
      </c>
      <c r="H504" s="24">
        <f>+G504/0.7</f>
        <v>22.142857142857146</v>
      </c>
      <c r="I504" s="24">
        <f>+H504*1.21</f>
        <v>26.792857142857144</v>
      </c>
      <c r="J504" s="24" t="s">
        <v>2326</v>
      </c>
      <c r="K504" s="24" t="s">
        <v>2365</v>
      </c>
      <c r="L504" t="s">
        <v>1392</v>
      </c>
      <c r="M504" t="s">
        <v>1415</v>
      </c>
      <c r="N504" t="s">
        <v>1425</v>
      </c>
      <c r="O504" t="s">
        <v>1428</v>
      </c>
      <c r="P504" t="s">
        <v>1429</v>
      </c>
      <c r="Q504">
        <v>41</v>
      </c>
      <c r="R504" s="2">
        <v>8457780330612</v>
      </c>
      <c r="S504" s="3" t="s">
        <v>1103</v>
      </c>
      <c r="T504" t="s">
        <v>1363</v>
      </c>
      <c r="U504" t="s">
        <v>1364</v>
      </c>
    </row>
    <row r="505" spans="1:21" x14ac:dyDescent="0.25">
      <c r="A505" t="s">
        <v>448</v>
      </c>
      <c r="B505" t="s">
        <v>2251</v>
      </c>
      <c r="C505" t="s">
        <v>456</v>
      </c>
      <c r="D505" t="s">
        <v>1811</v>
      </c>
      <c r="E505" t="str">
        <f>+CONCATENATE(D505,". FABRICADO EN ",M505,". PUNTERA DE ",N505,". PLANTILLA ",O505,". SUELA DE ",P505)</f>
        <v>BOTA SOLDADOR S3S+CI+HI+FO+SR METAL FREE Negro 42. FABRICADO EN PIEL GRABADA. PUNTERA DE Fibra de vidrio. PLANTILLA Antiperforación textil. SUELA DE PU/PU DOBLE DENSIDAD</v>
      </c>
      <c r="F505" t="str">
        <f>PROPER(E505)</f>
        <v>Bota Soldador S3S+Ci+Hi+Fo+Sr Metal Free Negro 42. Fabricado En Piel Grabada. Puntera De Fibra De Vidrio. Plantilla Antiperforación Textil. Suela De Pu/Pu Doble Densidad</v>
      </c>
      <c r="G505" s="24">
        <f>VLOOKUP(B505,Tabla1[],2,0)</f>
        <v>15.5</v>
      </c>
      <c r="H505" s="24">
        <f>+G505/0.7</f>
        <v>22.142857142857146</v>
      </c>
      <c r="I505" s="24">
        <f>+H505*1.21</f>
        <v>26.792857142857144</v>
      </c>
      <c r="J505" s="24" t="s">
        <v>2326</v>
      </c>
      <c r="K505" s="24" t="s">
        <v>2365</v>
      </c>
      <c r="L505" t="s">
        <v>1392</v>
      </c>
      <c r="M505" t="s">
        <v>1415</v>
      </c>
      <c r="N505" t="s">
        <v>1425</v>
      </c>
      <c r="O505" t="s">
        <v>1428</v>
      </c>
      <c r="P505" t="s">
        <v>1429</v>
      </c>
      <c r="Q505">
        <v>42</v>
      </c>
      <c r="R505" s="2">
        <v>8457780330629</v>
      </c>
      <c r="S505" s="3" t="s">
        <v>1104</v>
      </c>
      <c r="T505" t="s">
        <v>1363</v>
      </c>
      <c r="U505" t="s">
        <v>1364</v>
      </c>
    </row>
    <row r="506" spans="1:21" x14ac:dyDescent="0.25">
      <c r="A506" t="s">
        <v>448</v>
      </c>
      <c r="B506" t="s">
        <v>2251</v>
      </c>
      <c r="C506" t="s">
        <v>457</v>
      </c>
      <c r="D506" t="s">
        <v>1812</v>
      </c>
      <c r="E506" t="str">
        <f>+CONCATENATE(D506,". FABRICADO EN ",M506,". PUNTERA DE ",N506,". PLANTILLA ",O506,". SUELA DE ",P506)</f>
        <v>BOTA SOLDADOR S3S+CI+HI+FO+SR METAL FREE Negro 43. FABRICADO EN PIEL GRABADA. PUNTERA DE Fibra de vidrio. PLANTILLA Antiperforación textil. SUELA DE PU/PU DOBLE DENSIDAD</v>
      </c>
      <c r="F506" t="str">
        <f>PROPER(E506)</f>
        <v>Bota Soldador S3S+Ci+Hi+Fo+Sr Metal Free Negro 43. Fabricado En Piel Grabada. Puntera De Fibra De Vidrio. Plantilla Antiperforación Textil. Suela De Pu/Pu Doble Densidad</v>
      </c>
      <c r="G506" s="24">
        <f>VLOOKUP(B506,Tabla1[],2,0)</f>
        <v>15.5</v>
      </c>
      <c r="H506" s="24">
        <f>+G506/0.7</f>
        <v>22.142857142857146</v>
      </c>
      <c r="I506" s="24">
        <f>+H506*1.21</f>
        <v>26.792857142857144</v>
      </c>
      <c r="J506" s="24" t="s">
        <v>2326</v>
      </c>
      <c r="K506" s="24" t="s">
        <v>2365</v>
      </c>
      <c r="L506" t="s">
        <v>1392</v>
      </c>
      <c r="M506" t="s">
        <v>1415</v>
      </c>
      <c r="N506" t="s">
        <v>1425</v>
      </c>
      <c r="O506" t="s">
        <v>1428</v>
      </c>
      <c r="P506" t="s">
        <v>1429</v>
      </c>
      <c r="Q506">
        <v>43</v>
      </c>
      <c r="R506" s="2">
        <v>8457780330636</v>
      </c>
      <c r="S506" s="3" t="s">
        <v>1105</v>
      </c>
      <c r="T506" t="s">
        <v>1363</v>
      </c>
      <c r="U506" t="s">
        <v>1364</v>
      </c>
    </row>
    <row r="507" spans="1:21" x14ac:dyDescent="0.25">
      <c r="A507" t="s">
        <v>448</v>
      </c>
      <c r="B507" t="s">
        <v>2251</v>
      </c>
      <c r="C507" t="s">
        <v>458</v>
      </c>
      <c r="D507" t="s">
        <v>1813</v>
      </c>
      <c r="E507" t="str">
        <f>+CONCATENATE(D507,". FABRICADO EN ",M507,". PUNTERA DE ",N507,". PLANTILLA ",O507,". SUELA DE ",P507)</f>
        <v>BOTA SOLDADOR S3S+CI+HI+FO+SR METAL FREE Negro 44. FABRICADO EN PIEL GRABADA. PUNTERA DE Fibra de vidrio. PLANTILLA Antiperforación textil. SUELA DE PU/PU DOBLE DENSIDAD</v>
      </c>
      <c r="F507" t="str">
        <f>PROPER(E507)</f>
        <v>Bota Soldador S3S+Ci+Hi+Fo+Sr Metal Free Negro 44. Fabricado En Piel Grabada. Puntera De Fibra De Vidrio. Plantilla Antiperforación Textil. Suela De Pu/Pu Doble Densidad</v>
      </c>
      <c r="G507" s="24">
        <f>VLOOKUP(B507,Tabla1[],2,0)</f>
        <v>15.5</v>
      </c>
      <c r="H507" s="24">
        <f>+G507/0.7</f>
        <v>22.142857142857146</v>
      </c>
      <c r="I507" s="24">
        <f>+H507*1.21</f>
        <v>26.792857142857144</v>
      </c>
      <c r="J507" s="24" t="s">
        <v>2326</v>
      </c>
      <c r="K507" s="24" t="s">
        <v>2365</v>
      </c>
      <c r="L507" t="s">
        <v>1392</v>
      </c>
      <c r="M507" t="s">
        <v>1415</v>
      </c>
      <c r="N507" t="s">
        <v>1425</v>
      </c>
      <c r="O507" t="s">
        <v>1428</v>
      </c>
      <c r="P507" t="s">
        <v>1429</v>
      </c>
      <c r="Q507">
        <v>44</v>
      </c>
      <c r="R507" s="2">
        <v>8457780330643</v>
      </c>
      <c r="S507" s="3" t="s">
        <v>1106</v>
      </c>
      <c r="T507" t="s">
        <v>1363</v>
      </c>
      <c r="U507" t="s">
        <v>1364</v>
      </c>
    </row>
    <row r="508" spans="1:21" x14ac:dyDescent="0.25">
      <c r="A508" t="s">
        <v>448</v>
      </c>
      <c r="B508" t="s">
        <v>2251</v>
      </c>
      <c r="C508" t="s">
        <v>459</v>
      </c>
      <c r="D508" t="s">
        <v>1814</v>
      </c>
      <c r="E508" t="str">
        <f>+CONCATENATE(D508,". FABRICADO EN ",M508,". PUNTERA DE ",N508,". PLANTILLA ",O508,". SUELA DE ",P508)</f>
        <v>BOTA SOLDADOR S3S+CI+HI+FO+SR METAL FREE Negro 45. FABRICADO EN PIEL GRABADA. PUNTERA DE Fibra de vidrio. PLANTILLA Antiperforación textil. SUELA DE PU/PU DOBLE DENSIDAD</v>
      </c>
      <c r="F508" t="str">
        <f>PROPER(E508)</f>
        <v>Bota Soldador S3S+Ci+Hi+Fo+Sr Metal Free Negro 45. Fabricado En Piel Grabada. Puntera De Fibra De Vidrio. Plantilla Antiperforación Textil. Suela De Pu/Pu Doble Densidad</v>
      </c>
      <c r="G508" s="24">
        <f>VLOOKUP(B508,Tabla1[],2,0)</f>
        <v>15.5</v>
      </c>
      <c r="H508" s="24">
        <f>+G508/0.7</f>
        <v>22.142857142857146</v>
      </c>
      <c r="I508" s="24">
        <f>+H508*1.21</f>
        <v>26.792857142857144</v>
      </c>
      <c r="J508" s="24" t="s">
        <v>2326</v>
      </c>
      <c r="K508" s="24" t="s">
        <v>2365</v>
      </c>
      <c r="L508" t="s">
        <v>1392</v>
      </c>
      <c r="M508" t="s">
        <v>1415</v>
      </c>
      <c r="N508" t="s">
        <v>1425</v>
      </c>
      <c r="O508" t="s">
        <v>1428</v>
      </c>
      <c r="P508" t="s">
        <v>1429</v>
      </c>
      <c r="Q508">
        <v>45</v>
      </c>
      <c r="R508" s="2">
        <v>8457780330650</v>
      </c>
      <c r="S508" s="3" t="s">
        <v>1107</v>
      </c>
      <c r="T508" t="s">
        <v>1363</v>
      </c>
      <c r="U508" t="s">
        <v>1364</v>
      </c>
    </row>
    <row r="509" spans="1:21" x14ac:dyDescent="0.25">
      <c r="A509" t="s">
        <v>448</v>
      </c>
      <c r="B509" t="s">
        <v>2251</v>
      </c>
      <c r="C509" t="s">
        <v>460</v>
      </c>
      <c r="D509" t="s">
        <v>1815</v>
      </c>
      <c r="E509" t="str">
        <f>+CONCATENATE(D509,". FABRICADO EN ",M509,". PUNTERA DE ",N509,". PLANTILLA ",O509,". SUELA DE ",P509)</f>
        <v>BOTA SOLDADOR S3S+CI+HI+FO+SR METAL FREE Negro 46. FABRICADO EN PIEL GRABADA. PUNTERA DE Fibra de vidrio. PLANTILLA Antiperforación textil. SUELA DE PU/PU DOBLE DENSIDAD</v>
      </c>
      <c r="F509" t="str">
        <f>PROPER(E509)</f>
        <v>Bota Soldador S3S+Ci+Hi+Fo+Sr Metal Free Negro 46. Fabricado En Piel Grabada. Puntera De Fibra De Vidrio. Plantilla Antiperforación Textil. Suela De Pu/Pu Doble Densidad</v>
      </c>
      <c r="G509" s="24">
        <f>VLOOKUP(B509,Tabla1[],2,0)</f>
        <v>15.5</v>
      </c>
      <c r="H509" s="24">
        <f>+G509/0.7</f>
        <v>22.142857142857146</v>
      </c>
      <c r="I509" s="24">
        <f>+H509*1.21</f>
        <v>26.792857142857144</v>
      </c>
      <c r="J509" s="24" t="s">
        <v>2326</v>
      </c>
      <c r="K509" s="24" t="s">
        <v>2365</v>
      </c>
      <c r="L509" t="s">
        <v>1392</v>
      </c>
      <c r="M509" t="s">
        <v>1415</v>
      </c>
      <c r="N509" t="s">
        <v>1425</v>
      </c>
      <c r="O509" t="s">
        <v>1428</v>
      </c>
      <c r="P509" t="s">
        <v>1429</v>
      </c>
      <c r="Q509">
        <v>46</v>
      </c>
      <c r="R509" s="2">
        <v>8457780330667</v>
      </c>
      <c r="S509" s="3" t="s">
        <v>1108</v>
      </c>
      <c r="T509" t="s">
        <v>1363</v>
      </c>
      <c r="U509" t="s">
        <v>1364</v>
      </c>
    </row>
    <row r="510" spans="1:21" x14ac:dyDescent="0.25">
      <c r="A510" t="s">
        <v>448</v>
      </c>
      <c r="B510" t="s">
        <v>2251</v>
      </c>
      <c r="C510" t="s">
        <v>461</v>
      </c>
      <c r="D510" t="s">
        <v>1816</v>
      </c>
      <c r="E510" t="str">
        <f>+CONCATENATE(D510,". FABRICADO EN ",M510,". PUNTERA DE ",N510,". PLANTILLA ",O510,". SUELA DE ",P510)</f>
        <v>BOTA SOLDADOR S3S+CI+HI+FO+SR METAL FREE Negro 47. FABRICADO EN PIEL GRABADA. PUNTERA DE Fibra de vidrio. PLANTILLA Antiperforación textil. SUELA DE PU/PU DOBLE DENSIDAD</v>
      </c>
      <c r="F510" t="str">
        <f>PROPER(E510)</f>
        <v>Bota Soldador S3S+Ci+Hi+Fo+Sr Metal Free Negro 47. Fabricado En Piel Grabada. Puntera De Fibra De Vidrio. Plantilla Antiperforación Textil. Suela De Pu/Pu Doble Densidad</v>
      </c>
      <c r="G510" s="24">
        <f>VLOOKUP(B510,Tabla1[],2,0)</f>
        <v>15.5</v>
      </c>
      <c r="H510" s="24">
        <f>+G510/0.7</f>
        <v>22.142857142857146</v>
      </c>
      <c r="I510" s="24">
        <f>+H510*1.21</f>
        <v>26.792857142857144</v>
      </c>
      <c r="J510" s="24" t="s">
        <v>2326</v>
      </c>
      <c r="K510" s="24" t="s">
        <v>2365</v>
      </c>
      <c r="L510" t="s">
        <v>1392</v>
      </c>
      <c r="M510" t="s">
        <v>1415</v>
      </c>
      <c r="N510" t="s">
        <v>1425</v>
      </c>
      <c r="O510" t="s">
        <v>1428</v>
      </c>
      <c r="P510" t="s">
        <v>1429</v>
      </c>
      <c r="Q510">
        <v>47</v>
      </c>
      <c r="R510" s="2">
        <v>8457780330674</v>
      </c>
      <c r="S510" s="3" t="s">
        <v>1109</v>
      </c>
      <c r="T510" t="s">
        <v>1363</v>
      </c>
      <c r="U510" t="s">
        <v>1364</v>
      </c>
    </row>
    <row r="511" spans="1:21" x14ac:dyDescent="0.25">
      <c r="A511" t="s">
        <v>448</v>
      </c>
      <c r="B511" t="s">
        <v>2251</v>
      </c>
      <c r="C511" t="s">
        <v>462</v>
      </c>
      <c r="D511" t="s">
        <v>1817</v>
      </c>
      <c r="E511" t="str">
        <f>+CONCATENATE(D511,". FABRICADO EN ",M511,". PUNTERA DE ",N511,". PLANTILLA ",O511,". SUELA DE ",P511)</f>
        <v>BOTA SOLDADOR S3S+CI+HI+FO+SR METAL FREE Negro 48. FABRICADO EN PIEL GRABADA. PUNTERA DE Fibra de vidrio. PLANTILLA Antiperforación textil. SUELA DE PU/PU DOBLE DENSIDAD</v>
      </c>
      <c r="F511" t="str">
        <f>PROPER(E511)</f>
        <v>Bota Soldador S3S+Ci+Hi+Fo+Sr Metal Free Negro 48. Fabricado En Piel Grabada. Puntera De Fibra De Vidrio. Plantilla Antiperforación Textil. Suela De Pu/Pu Doble Densidad</v>
      </c>
      <c r="G511" s="24">
        <f>VLOOKUP(B511,Tabla1[],2,0)</f>
        <v>15.5</v>
      </c>
      <c r="H511" s="24">
        <f>+G511/0.7</f>
        <v>22.142857142857146</v>
      </c>
      <c r="I511" s="24">
        <f>+H511*1.21</f>
        <v>26.792857142857144</v>
      </c>
      <c r="J511" s="24" t="s">
        <v>2326</v>
      </c>
      <c r="K511" s="24" t="s">
        <v>2365</v>
      </c>
      <c r="L511" t="s">
        <v>1392</v>
      </c>
      <c r="M511" t="s">
        <v>1415</v>
      </c>
      <c r="N511" t="s">
        <v>1425</v>
      </c>
      <c r="O511" t="s">
        <v>1428</v>
      </c>
      <c r="P511" t="s">
        <v>1429</v>
      </c>
      <c r="Q511">
        <v>48</v>
      </c>
      <c r="R511" s="2">
        <v>8457780330681</v>
      </c>
      <c r="S511" s="3" t="s">
        <v>1110</v>
      </c>
      <c r="T511" t="s">
        <v>1363</v>
      </c>
      <c r="U511" t="s">
        <v>1364</v>
      </c>
    </row>
    <row r="512" spans="1:21" x14ac:dyDescent="0.25">
      <c r="A512" t="s">
        <v>463</v>
      </c>
      <c r="B512" t="s">
        <v>2252</v>
      </c>
      <c r="C512" t="s">
        <v>464</v>
      </c>
      <c r="D512" t="s">
        <v>1818</v>
      </c>
      <c r="E512" t="str">
        <f>+CONCATENATE(D512,". FABRICADO EN ",M512,". PUNTERA DE ",N512,". PLANTILLA ",O512,". SUELA DE ",P512)</f>
        <v>ZAPATO S3S+CI+HI+FO+SC+SR+ESD Negro 35. FABRICADO EN TEXTIL S3. PUNTERA DE Fibra de vidrio. PLANTILLA Antiperforación textil. SUELA DE PU/PU DOBLE DENSIDAD</v>
      </c>
      <c r="F512" t="str">
        <f>PROPER(E512)</f>
        <v>Zapato S3S+Ci+Hi+Fo+Sc+Sr+Esd Negro 35. Fabricado En Textil S3. Puntera De Fibra De Vidrio. Plantilla Antiperforación Textil. Suela De Pu/Pu Doble Densidad</v>
      </c>
      <c r="G512" s="24">
        <f>VLOOKUP(B512,Tabla1[],2,0)</f>
        <v>19</v>
      </c>
      <c r="H512" s="24">
        <f>+G512/0.72</f>
        <v>26.388888888888889</v>
      </c>
      <c r="I512" s="24">
        <f>+H512*1.21</f>
        <v>31.930555555555554</v>
      </c>
      <c r="J512" s="24" t="s">
        <v>2359</v>
      </c>
      <c r="K512" s="24" t="s">
        <v>2365</v>
      </c>
      <c r="L512" t="s">
        <v>1392</v>
      </c>
      <c r="M512" t="s">
        <v>1414</v>
      </c>
      <c r="N512" t="s">
        <v>1425</v>
      </c>
      <c r="O512" t="s">
        <v>1428</v>
      </c>
      <c r="P512" t="s">
        <v>1429</v>
      </c>
      <c r="Q512">
        <v>35</v>
      </c>
      <c r="R512" s="2">
        <v>8457780336423</v>
      </c>
      <c r="S512" s="3" t="s">
        <v>1111</v>
      </c>
      <c r="T512" t="s">
        <v>1331</v>
      </c>
    </row>
    <row r="513" spans="1:21" x14ac:dyDescent="0.25">
      <c r="A513" t="s">
        <v>463</v>
      </c>
      <c r="B513" t="s">
        <v>2252</v>
      </c>
      <c r="C513" t="s">
        <v>465</v>
      </c>
      <c r="D513" t="s">
        <v>1819</v>
      </c>
      <c r="E513" t="str">
        <f>+CONCATENATE(D513,". FABRICADO EN ",M513,". PUNTERA DE ",N513,". PLANTILLA ",O513,". SUELA DE ",P513)</f>
        <v>ZAPATO S3S+CI+HI+FO+SC+SR+ESD Negro 36. FABRICADO EN TEXTIL S3. PUNTERA DE Fibra de vidrio. PLANTILLA Antiperforación textil. SUELA DE PU/PU DOBLE DENSIDAD</v>
      </c>
      <c r="F513" t="str">
        <f>PROPER(E513)</f>
        <v>Zapato S3S+Ci+Hi+Fo+Sc+Sr+Esd Negro 36. Fabricado En Textil S3. Puntera De Fibra De Vidrio. Plantilla Antiperforación Textil. Suela De Pu/Pu Doble Densidad</v>
      </c>
      <c r="G513" s="24">
        <f>VLOOKUP(B513,Tabla1[],2,0)</f>
        <v>19</v>
      </c>
      <c r="H513" s="24">
        <f>+G513/0.72</f>
        <v>26.388888888888889</v>
      </c>
      <c r="I513" s="24">
        <f>+H513*1.21</f>
        <v>31.930555555555554</v>
      </c>
      <c r="J513" s="24" t="s">
        <v>2359</v>
      </c>
      <c r="K513" s="24" t="s">
        <v>2365</v>
      </c>
      <c r="L513" t="s">
        <v>1392</v>
      </c>
      <c r="M513" t="s">
        <v>1414</v>
      </c>
      <c r="N513" t="s">
        <v>1425</v>
      </c>
      <c r="O513" t="s">
        <v>1428</v>
      </c>
      <c r="P513" t="s">
        <v>1429</v>
      </c>
      <c r="Q513">
        <v>36</v>
      </c>
      <c r="R513" s="2">
        <v>8457780336430</v>
      </c>
      <c r="S513" s="3" t="s">
        <v>1112</v>
      </c>
      <c r="T513" t="s">
        <v>1331</v>
      </c>
    </row>
    <row r="514" spans="1:21" x14ac:dyDescent="0.25">
      <c r="A514" t="s">
        <v>463</v>
      </c>
      <c r="B514" t="s">
        <v>2252</v>
      </c>
      <c r="C514" t="s">
        <v>466</v>
      </c>
      <c r="D514" t="s">
        <v>1820</v>
      </c>
      <c r="E514" t="str">
        <f>+CONCATENATE(D514,". FABRICADO EN ",M514,". PUNTERA DE ",N514,". PLANTILLA ",O514,". SUELA DE ",P514)</f>
        <v>ZAPATO S3S+CI+HI+FO+SC+SR+ESD Negro 37. FABRICADO EN TEXTIL S3. PUNTERA DE Fibra de vidrio. PLANTILLA Antiperforación textil. SUELA DE PU/PU DOBLE DENSIDAD</v>
      </c>
      <c r="F514" t="str">
        <f>PROPER(E514)</f>
        <v>Zapato S3S+Ci+Hi+Fo+Sc+Sr+Esd Negro 37. Fabricado En Textil S3. Puntera De Fibra De Vidrio. Plantilla Antiperforación Textil. Suela De Pu/Pu Doble Densidad</v>
      </c>
      <c r="G514" s="24">
        <f>VLOOKUP(B514,Tabla1[],2,0)</f>
        <v>19</v>
      </c>
      <c r="H514" s="24">
        <f>+G514/0.72</f>
        <v>26.388888888888889</v>
      </c>
      <c r="I514" s="24">
        <f>+H514*1.21</f>
        <v>31.930555555555554</v>
      </c>
      <c r="J514" s="24" t="s">
        <v>2359</v>
      </c>
      <c r="K514" s="24" t="s">
        <v>2365</v>
      </c>
      <c r="L514" t="s">
        <v>1392</v>
      </c>
      <c r="M514" t="s">
        <v>1414</v>
      </c>
      <c r="N514" t="s">
        <v>1425</v>
      </c>
      <c r="O514" t="s">
        <v>1428</v>
      </c>
      <c r="P514" t="s">
        <v>1429</v>
      </c>
      <c r="Q514">
        <v>37</v>
      </c>
      <c r="R514" s="2">
        <v>8457780336447</v>
      </c>
      <c r="S514" s="3" t="s">
        <v>1113</v>
      </c>
      <c r="T514" t="s">
        <v>1331</v>
      </c>
    </row>
    <row r="515" spans="1:21" x14ac:dyDescent="0.25">
      <c r="A515" t="s">
        <v>463</v>
      </c>
      <c r="B515" t="s">
        <v>2252</v>
      </c>
      <c r="C515" t="s">
        <v>467</v>
      </c>
      <c r="D515" t="s">
        <v>1821</v>
      </c>
      <c r="E515" t="str">
        <f>+CONCATENATE(D515,". FABRICADO EN ",M515,". PUNTERA DE ",N515,". PLANTILLA ",O515,". SUELA DE ",P515)</f>
        <v>ZAPATO S3S+CI+HI+FO+SC+SR+ESD Negro 38. FABRICADO EN TEXTIL S3. PUNTERA DE Fibra de vidrio. PLANTILLA Antiperforación textil. SUELA DE PU/PU DOBLE DENSIDAD</v>
      </c>
      <c r="F515" t="str">
        <f>PROPER(E515)</f>
        <v>Zapato S3S+Ci+Hi+Fo+Sc+Sr+Esd Negro 38. Fabricado En Textil S3. Puntera De Fibra De Vidrio. Plantilla Antiperforación Textil. Suela De Pu/Pu Doble Densidad</v>
      </c>
      <c r="G515" s="24">
        <f>VLOOKUP(B515,Tabla1[],2,0)</f>
        <v>19</v>
      </c>
      <c r="H515" s="24">
        <f>+G515/0.72</f>
        <v>26.388888888888889</v>
      </c>
      <c r="I515" s="24">
        <f>+H515*1.21</f>
        <v>31.930555555555554</v>
      </c>
      <c r="J515" s="24" t="s">
        <v>2359</v>
      </c>
      <c r="K515" s="24" t="s">
        <v>2365</v>
      </c>
      <c r="L515" t="s">
        <v>1392</v>
      </c>
      <c r="M515" t="s">
        <v>1414</v>
      </c>
      <c r="N515" t="s">
        <v>1425</v>
      </c>
      <c r="O515" t="s">
        <v>1428</v>
      </c>
      <c r="P515" t="s">
        <v>1429</v>
      </c>
      <c r="Q515">
        <v>38</v>
      </c>
      <c r="R515" s="2">
        <v>8457780336454</v>
      </c>
      <c r="S515" s="3" t="s">
        <v>1114</v>
      </c>
      <c r="T515" t="s">
        <v>1331</v>
      </c>
    </row>
    <row r="516" spans="1:21" x14ac:dyDescent="0.25">
      <c r="A516" t="s">
        <v>463</v>
      </c>
      <c r="B516" t="s">
        <v>2252</v>
      </c>
      <c r="C516" t="s">
        <v>468</v>
      </c>
      <c r="D516" t="s">
        <v>1822</v>
      </c>
      <c r="E516" t="str">
        <f>+CONCATENATE(D516,". FABRICADO EN ",M516,". PUNTERA DE ",N516,". PLANTILLA ",O516,". SUELA DE ",P516)</f>
        <v>ZAPATO S3S+CI+HI+FO+SC+SR+ESD Negro 39. FABRICADO EN TEXTIL S3. PUNTERA DE Fibra de vidrio. PLANTILLA Antiperforación textil. SUELA DE PU/PU DOBLE DENSIDAD</v>
      </c>
      <c r="F516" t="str">
        <f>PROPER(E516)</f>
        <v>Zapato S3S+Ci+Hi+Fo+Sc+Sr+Esd Negro 39. Fabricado En Textil S3. Puntera De Fibra De Vidrio. Plantilla Antiperforación Textil. Suela De Pu/Pu Doble Densidad</v>
      </c>
      <c r="G516" s="24">
        <f>VLOOKUP(B516,Tabla1[],2,0)</f>
        <v>19</v>
      </c>
      <c r="H516" s="24">
        <f>+G516/0.72</f>
        <v>26.388888888888889</v>
      </c>
      <c r="I516" s="24">
        <f>+H516*1.21</f>
        <v>31.930555555555554</v>
      </c>
      <c r="J516" s="24" t="s">
        <v>2359</v>
      </c>
      <c r="K516" s="24" t="s">
        <v>2365</v>
      </c>
      <c r="L516" t="s">
        <v>1392</v>
      </c>
      <c r="M516" t="s">
        <v>1414</v>
      </c>
      <c r="N516" t="s">
        <v>1425</v>
      </c>
      <c r="O516" t="s">
        <v>1428</v>
      </c>
      <c r="P516" t="s">
        <v>1429</v>
      </c>
      <c r="Q516">
        <v>39</v>
      </c>
      <c r="R516" s="2">
        <v>8457780336461</v>
      </c>
      <c r="S516" s="3" t="s">
        <v>1115</v>
      </c>
      <c r="T516" t="s">
        <v>1331</v>
      </c>
    </row>
    <row r="517" spans="1:21" x14ac:dyDescent="0.25">
      <c r="A517" t="s">
        <v>463</v>
      </c>
      <c r="B517" t="s">
        <v>2252</v>
      </c>
      <c r="C517" t="s">
        <v>469</v>
      </c>
      <c r="D517" t="s">
        <v>1823</v>
      </c>
      <c r="E517" t="str">
        <f>+CONCATENATE(D517,". FABRICADO EN ",M517,". PUNTERA DE ",N517,". PLANTILLA ",O517,". SUELA DE ",P517)</f>
        <v>ZAPATO S3S+CI+HI+FO+SC+SR+ESD Negro 40. FABRICADO EN TEXTIL S3. PUNTERA DE Fibra de vidrio. PLANTILLA Antiperforación textil. SUELA DE PU/PU DOBLE DENSIDAD</v>
      </c>
      <c r="F517" t="str">
        <f>PROPER(E517)</f>
        <v>Zapato S3S+Ci+Hi+Fo+Sc+Sr+Esd Negro 40. Fabricado En Textil S3. Puntera De Fibra De Vidrio. Plantilla Antiperforación Textil. Suela De Pu/Pu Doble Densidad</v>
      </c>
      <c r="G517" s="24">
        <f>VLOOKUP(B517,Tabla1[],2,0)</f>
        <v>19</v>
      </c>
      <c r="H517" s="24">
        <f>+G517/0.72</f>
        <v>26.388888888888889</v>
      </c>
      <c r="I517" s="24">
        <f>+H517*1.21</f>
        <v>31.930555555555554</v>
      </c>
      <c r="J517" s="24" t="s">
        <v>2359</v>
      </c>
      <c r="K517" s="24" t="s">
        <v>2365</v>
      </c>
      <c r="L517" t="s">
        <v>1392</v>
      </c>
      <c r="M517" t="s">
        <v>1414</v>
      </c>
      <c r="N517" t="s">
        <v>1425</v>
      </c>
      <c r="O517" t="s">
        <v>1428</v>
      </c>
      <c r="P517" t="s">
        <v>1429</v>
      </c>
      <c r="Q517">
        <v>40</v>
      </c>
      <c r="R517" s="2">
        <v>8457780336478</v>
      </c>
      <c r="S517" s="3" t="s">
        <v>1116</v>
      </c>
      <c r="T517" t="s">
        <v>1331</v>
      </c>
    </row>
    <row r="518" spans="1:21" x14ac:dyDescent="0.25">
      <c r="A518" t="s">
        <v>463</v>
      </c>
      <c r="B518" t="s">
        <v>2252</v>
      </c>
      <c r="C518" t="s">
        <v>470</v>
      </c>
      <c r="D518" t="s">
        <v>1824</v>
      </c>
      <c r="E518" t="str">
        <f>+CONCATENATE(D518,". FABRICADO EN ",M518,". PUNTERA DE ",N518,". PLANTILLA ",O518,". SUELA DE ",P518)</f>
        <v>ZAPATO S3S+CI+HI+FO+SC+SR+ESD Negro 41. FABRICADO EN TEXTIL S3. PUNTERA DE Fibra de vidrio. PLANTILLA Antiperforación textil. SUELA DE PU/PU DOBLE DENSIDAD</v>
      </c>
      <c r="F518" t="str">
        <f>PROPER(E518)</f>
        <v>Zapato S3S+Ci+Hi+Fo+Sc+Sr+Esd Negro 41. Fabricado En Textil S3. Puntera De Fibra De Vidrio. Plantilla Antiperforación Textil. Suela De Pu/Pu Doble Densidad</v>
      </c>
      <c r="G518" s="24">
        <f>VLOOKUP(B518,Tabla1[],2,0)</f>
        <v>19</v>
      </c>
      <c r="H518" s="24">
        <f>+G518/0.72</f>
        <v>26.388888888888889</v>
      </c>
      <c r="I518" s="24">
        <f>+H518*1.21</f>
        <v>31.930555555555554</v>
      </c>
      <c r="J518" s="24" t="s">
        <v>2359</v>
      </c>
      <c r="K518" s="24" t="s">
        <v>2365</v>
      </c>
      <c r="L518" t="s">
        <v>1392</v>
      </c>
      <c r="M518" t="s">
        <v>1414</v>
      </c>
      <c r="N518" t="s">
        <v>1425</v>
      </c>
      <c r="O518" t="s">
        <v>1428</v>
      </c>
      <c r="P518" t="s">
        <v>1429</v>
      </c>
      <c r="Q518">
        <v>41</v>
      </c>
      <c r="R518" s="2">
        <v>8457780336485</v>
      </c>
      <c r="S518" s="3" t="s">
        <v>1117</v>
      </c>
      <c r="T518" t="s">
        <v>1331</v>
      </c>
    </row>
    <row r="519" spans="1:21" x14ac:dyDescent="0.25">
      <c r="A519" t="s">
        <v>463</v>
      </c>
      <c r="B519" t="s">
        <v>2252</v>
      </c>
      <c r="C519" t="s">
        <v>471</v>
      </c>
      <c r="D519" t="s">
        <v>1825</v>
      </c>
      <c r="E519" t="str">
        <f>+CONCATENATE(D519,". FABRICADO EN ",M519,". PUNTERA DE ",N519,". PLANTILLA ",O519,". SUELA DE ",P519)</f>
        <v>ZAPATO S3S+CI+HI+FO+SC+SR+ESD Negro 42. FABRICADO EN TEXTIL S3. PUNTERA DE Fibra de vidrio. PLANTILLA Antiperforación textil. SUELA DE PU/PU DOBLE DENSIDAD</v>
      </c>
      <c r="F519" t="str">
        <f>PROPER(E519)</f>
        <v>Zapato S3S+Ci+Hi+Fo+Sc+Sr+Esd Negro 42. Fabricado En Textil S3. Puntera De Fibra De Vidrio. Plantilla Antiperforación Textil. Suela De Pu/Pu Doble Densidad</v>
      </c>
      <c r="G519" s="24">
        <f>VLOOKUP(B519,Tabla1[],2,0)</f>
        <v>19</v>
      </c>
      <c r="H519" s="24">
        <f>+G519/0.72</f>
        <v>26.388888888888889</v>
      </c>
      <c r="I519" s="24">
        <f>+H519*1.21</f>
        <v>31.930555555555554</v>
      </c>
      <c r="J519" s="24" t="s">
        <v>2359</v>
      </c>
      <c r="K519" s="24" t="s">
        <v>2365</v>
      </c>
      <c r="L519" t="s">
        <v>1392</v>
      </c>
      <c r="M519" t="s">
        <v>1414</v>
      </c>
      <c r="N519" t="s">
        <v>1425</v>
      </c>
      <c r="O519" t="s">
        <v>1428</v>
      </c>
      <c r="P519" t="s">
        <v>1429</v>
      </c>
      <c r="Q519">
        <v>42</v>
      </c>
      <c r="R519" s="2">
        <v>8457780336492</v>
      </c>
      <c r="S519" s="3" t="s">
        <v>1118</v>
      </c>
      <c r="T519" t="s">
        <v>1331</v>
      </c>
    </row>
    <row r="520" spans="1:21" x14ac:dyDescent="0.25">
      <c r="A520" t="s">
        <v>463</v>
      </c>
      <c r="B520" t="s">
        <v>2252</v>
      </c>
      <c r="C520" t="s">
        <v>472</v>
      </c>
      <c r="D520" t="s">
        <v>1826</v>
      </c>
      <c r="E520" t="str">
        <f>+CONCATENATE(D520,". FABRICADO EN ",M520,". PUNTERA DE ",N520,". PLANTILLA ",O520,". SUELA DE ",P520)</f>
        <v>ZAPATO S3S+CI+HI+FO+SC+SR+ESD Negro 43. FABRICADO EN TEXTIL S3. PUNTERA DE Fibra de vidrio. PLANTILLA Antiperforación textil. SUELA DE PU/PU DOBLE DENSIDAD</v>
      </c>
      <c r="F520" t="str">
        <f>PROPER(E520)</f>
        <v>Zapato S3S+Ci+Hi+Fo+Sc+Sr+Esd Negro 43. Fabricado En Textil S3. Puntera De Fibra De Vidrio. Plantilla Antiperforación Textil. Suela De Pu/Pu Doble Densidad</v>
      </c>
      <c r="G520" s="24">
        <f>VLOOKUP(B520,Tabla1[],2,0)</f>
        <v>19</v>
      </c>
      <c r="H520" s="24">
        <f>+G520/0.72</f>
        <v>26.388888888888889</v>
      </c>
      <c r="I520" s="24">
        <f>+H520*1.21</f>
        <v>31.930555555555554</v>
      </c>
      <c r="J520" s="24" t="s">
        <v>2359</v>
      </c>
      <c r="K520" s="24" t="s">
        <v>2365</v>
      </c>
      <c r="L520" t="s">
        <v>1392</v>
      </c>
      <c r="M520" t="s">
        <v>1414</v>
      </c>
      <c r="N520" t="s">
        <v>1425</v>
      </c>
      <c r="O520" t="s">
        <v>1428</v>
      </c>
      <c r="P520" t="s">
        <v>1429</v>
      </c>
      <c r="Q520">
        <v>43</v>
      </c>
      <c r="R520" s="2">
        <v>8457780336508</v>
      </c>
      <c r="S520" s="3" t="s">
        <v>1119</v>
      </c>
      <c r="T520" t="s">
        <v>1331</v>
      </c>
    </row>
    <row r="521" spans="1:21" x14ac:dyDescent="0.25">
      <c r="A521" t="s">
        <v>463</v>
      </c>
      <c r="B521" t="s">
        <v>2252</v>
      </c>
      <c r="C521" t="s">
        <v>473</v>
      </c>
      <c r="D521" t="s">
        <v>1827</v>
      </c>
      <c r="E521" t="str">
        <f>+CONCATENATE(D521,". FABRICADO EN ",M521,". PUNTERA DE ",N521,". PLANTILLA ",O521,". SUELA DE ",P521)</f>
        <v>ZAPATO S3S+CI+HI+FO+SC+SR+ESD Negro 44. FABRICADO EN TEXTIL S3. PUNTERA DE Fibra de vidrio. PLANTILLA Antiperforación textil. SUELA DE PU/PU DOBLE DENSIDAD</v>
      </c>
      <c r="F521" t="str">
        <f>PROPER(E521)</f>
        <v>Zapato S3S+Ci+Hi+Fo+Sc+Sr+Esd Negro 44. Fabricado En Textil S3. Puntera De Fibra De Vidrio. Plantilla Antiperforación Textil. Suela De Pu/Pu Doble Densidad</v>
      </c>
      <c r="G521" s="24">
        <f>VLOOKUP(B521,Tabla1[],2,0)</f>
        <v>19</v>
      </c>
      <c r="H521" s="24">
        <f>+G521/0.72</f>
        <v>26.388888888888889</v>
      </c>
      <c r="I521" s="24">
        <f>+H521*1.21</f>
        <v>31.930555555555554</v>
      </c>
      <c r="J521" s="24" t="s">
        <v>2359</v>
      </c>
      <c r="K521" s="24" t="s">
        <v>2365</v>
      </c>
      <c r="L521" t="s">
        <v>1392</v>
      </c>
      <c r="M521" t="s">
        <v>1414</v>
      </c>
      <c r="N521" t="s">
        <v>1425</v>
      </c>
      <c r="O521" t="s">
        <v>1428</v>
      </c>
      <c r="P521" t="s">
        <v>1429</v>
      </c>
      <c r="Q521">
        <v>44</v>
      </c>
      <c r="R521" s="2">
        <v>8457780336515</v>
      </c>
      <c r="S521" s="3" t="s">
        <v>1120</v>
      </c>
      <c r="T521" t="s">
        <v>1331</v>
      </c>
    </row>
    <row r="522" spans="1:21" x14ac:dyDescent="0.25">
      <c r="A522" t="s">
        <v>463</v>
      </c>
      <c r="B522" t="s">
        <v>2252</v>
      </c>
      <c r="C522" t="s">
        <v>474</v>
      </c>
      <c r="D522" t="s">
        <v>1828</v>
      </c>
      <c r="E522" t="str">
        <f>+CONCATENATE(D522,". FABRICADO EN ",M522,". PUNTERA DE ",N522,". PLANTILLA ",O522,". SUELA DE ",P522)</f>
        <v>ZAPATO S3S+CI+HI+FO+SC+SR+ESD Negro 45. FABRICADO EN TEXTIL S3. PUNTERA DE Fibra de vidrio. PLANTILLA Antiperforación textil. SUELA DE PU/PU DOBLE DENSIDAD</v>
      </c>
      <c r="F522" t="str">
        <f>PROPER(E522)</f>
        <v>Zapato S3S+Ci+Hi+Fo+Sc+Sr+Esd Negro 45. Fabricado En Textil S3. Puntera De Fibra De Vidrio. Plantilla Antiperforación Textil. Suela De Pu/Pu Doble Densidad</v>
      </c>
      <c r="G522" s="24">
        <f>VLOOKUP(B522,Tabla1[],2,0)</f>
        <v>19</v>
      </c>
      <c r="H522" s="24">
        <f>+G522/0.72</f>
        <v>26.388888888888889</v>
      </c>
      <c r="I522" s="24">
        <f>+H522*1.21</f>
        <v>31.930555555555554</v>
      </c>
      <c r="J522" s="24" t="s">
        <v>2359</v>
      </c>
      <c r="K522" s="24" t="s">
        <v>2365</v>
      </c>
      <c r="L522" t="s">
        <v>1392</v>
      </c>
      <c r="M522" t="s">
        <v>1414</v>
      </c>
      <c r="N522" t="s">
        <v>1425</v>
      </c>
      <c r="O522" t="s">
        <v>1428</v>
      </c>
      <c r="P522" t="s">
        <v>1429</v>
      </c>
      <c r="Q522">
        <v>45</v>
      </c>
      <c r="R522" s="2">
        <v>8457780336522</v>
      </c>
      <c r="S522" s="3" t="s">
        <v>1121</v>
      </c>
      <c r="T522" t="s">
        <v>1331</v>
      </c>
    </row>
    <row r="523" spans="1:21" x14ac:dyDescent="0.25">
      <c r="A523" t="s">
        <v>463</v>
      </c>
      <c r="B523" t="s">
        <v>2252</v>
      </c>
      <c r="C523" t="s">
        <v>475</v>
      </c>
      <c r="D523" t="s">
        <v>1829</v>
      </c>
      <c r="E523" t="str">
        <f>+CONCATENATE(D523,". FABRICADO EN ",M523,". PUNTERA DE ",N523,". PLANTILLA ",O523,". SUELA DE ",P523)</f>
        <v>ZAPATO S3S+CI+HI+FO+SC+SR+ESD Negro 46. FABRICADO EN TEXTIL S3. PUNTERA DE Fibra de vidrio. PLANTILLA Antiperforación textil. SUELA DE PU/PU DOBLE DENSIDAD</v>
      </c>
      <c r="F523" t="str">
        <f>PROPER(E523)</f>
        <v>Zapato S3S+Ci+Hi+Fo+Sc+Sr+Esd Negro 46. Fabricado En Textil S3. Puntera De Fibra De Vidrio. Plantilla Antiperforación Textil. Suela De Pu/Pu Doble Densidad</v>
      </c>
      <c r="G523" s="24">
        <f>VLOOKUP(B523,Tabla1[],2,0)</f>
        <v>19</v>
      </c>
      <c r="H523" s="24">
        <f>+G523/0.72</f>
        <v>26.388888888888889</v>
      </c>
      <c r="I523" s="24">
        <f>+H523*1.21</f>
        <v>31.930555555555554</v>
      </c>
      <c r="J523" s="24" t="s">
        <v>2359</v>
      </c>
      <c r="K523" s="24" t="s">
        <v>2365</v>
      </c>
      <c r="L523" t="s">
        <v>1392</v>
      </c>
      <c r="M523" t="s">
        <v>1414</v>
      </c>
      <c r="N523" t="s">
        <v>1425</v>
      </c>
      <c r="O523" t="s">
        <v>1428</v>
      </c>
      <c r="P523" t="s">
        <v>1429</v>
      </c>
      <c r="Q523">
        <v>46</v>
      </c>
      <c r="R523" s="2">
        <v>8457780336539</v>
      </c>
      <c r="S523" s="3" t="s">
        <v>1122</v>
      </c>
      <c r="T523" t="s">
        <v>1331</v>
      </c>
    </row>
    <row r="524" spans="1:21" x14ac:dyDescent="0.25">
      <c r="A524" t="s">
        <v>463</v>
      </c>
      <c r="B524" t="s">
        <v>2252</v>
      </c>
      <c r="C524" t="s">
        <v>476</v>
      </c>
      <c r="D524" t="s">
        <v>1830</v>
      </c>
      <c r="E524" t="str">
        <f>+CONCATENATE(D524,". FABRICADO EN ",M524,". PUNTERA DE ",N524,". PLANTILLA ",O524,". SUELA DE ",P524)</f>
        <v>ZAPATO S3S+CI+HI+FO+SC+SR+ESD Negro 47. FABRICADO EN TEXTIL S3. PUNTERA DE Fibra de vidrio. PLANTILLA Antiperforación textil. SUELA DE PU/PU DOBLE DENSIDAD</v>
      </c>
      <c r="F524" t="str">
        <f>PROPER(E524)</f>
        <v>Zapato S3S+Ci+Hi+Fo+Sc+Sr+Esd Negro 47. Fabricado En Textil S3. Puntera De Fibra De Vidrio. Plantilla Antiperforación Textil. Suela De Pu/Pu Doble Densidad</v>
      </c>
      <c r="G524" s="24">
        <f>VLOOKUP(B524,Tabla1[],2,0)</f>
        <v>19</v>
      </c>
      <c r="H524" s="24">
        <f>+G524/0.72</f>
        <v>26.388888888888889</v>
      </c>
      <c r="I524" s="24">
        <f>+H524*1.21</f>
        <v>31.930555555555554</v>
      </c>
      <c r="J524" s="24" t="s">
        <v>2359</v>
      </c>
      <c r="K524" s="24" t="s">
        <v>2365</v>
      </c>
      <c r="L524" t="s">
        <v>1392</v>
      </c>
      <c r="M524" t="s">
        <v>1414</v>
      </c>
      <c r="N524" t="s">
        <v>1425</v>
      </c>
      <c r="O524" t="s">
        <v>1428</v>
      </c>
      <c r="P524" t="s">
        <v>1429</v>
      </c>
      <c r="Q524">
        <v>47</v>
      </c>
      <c r="R524" s="2">
        <v>8457780336546</v>
      </c>
      <c r="S524" s="3" t="s">
        <v>1123</v>
      </c>
      <c r="T524" t="s">
        <v>1331</v>
      </c>
    </row>
    <row r="525" spans="1:21" x14ac:dyDescent="0.25">
      <c r="A525" t="s">
        <v>463</v>
      </c>
      <c r="B525" t="s">
        <v>2252</v>
      </c>
      <c r="C525" t="s">
        <v>477</v>
      </c>
      <c r="D525" t="s">
        <v>1831</v>
      </c>
      <c r="E525" t="str">
        <f>+CONCATENATE(D525,". FABRICADO EN ",M525,". PUNTERA DE ",N525,". PLANTILLA ",O525,". SUELA DE ",P525)</f>
        <v>ZAPATO S3S+CI+HI+FO+SC+SR+ESD Negro 48. FABRICADO EN TEXTIL S3. PUNTERA DE Fibra de vidrio. PLANTILLA Antiperforación textil. SUELA DE PU/PU DOBLE DENSIDAD</v>
      </c>
      <c r="F525" t="str">
        <f>PROPER(E525)</f>
        <v>Zapato S3S+Ci+Hi+Fo+Sc+Sr+Esd Negro 48. Fabricado En Textil S3. Puntera De Fibra De Vidrio. Plantilla Antiperforación Textil. Suela De Pu/Pu Doble Densidad</v>
      </c>
      <c r="G525" s="24">
        <f>VLOOKUP(B525,Tabla1[],2,0)</f>
        <v>19</v>
      </c>
      <c r="H525" s="24">
        <f>+G525/0.72</f>
        <v>26.388888888888889</v>
      </c>
      <c r="I525" s="24">
        <f>+H525*1.21</f>
        <v>31.930555555555554</v>
      </c>
      <c r="J525" s="24" t="s">
        <v>2359</v>
      </c>
      <c r="K525" s="24" t="s">
        <v>2365</v>
      </c>
      <c r="L525" t="s">
        <v>1392</v>
      </c>
      <c r="M525" t="s">
        <v>1414</v>
      </c>
      <c r="N525" t="s">
        <v>1425</v>
      </c>
      <c r="O525" t="s">
        <v>1428</v>
      </c>
      <c r="P525" t="s">
        <v>1429</v>
      </c>
      <c r="Q525">
        <v>48</v>
      </c>
      <c r="R525" s="2">
        <v>8457780336553</v>
      </c>
      <c r="S525" s="3" t="s">
        <v>1124</v>
      </c>
      <c r="T525" t="s">
        <v>1331</v>
      </c>
    </row>
    <row r="526" spans="1:21" x14ac:dyDescent="0.25">
      <c r="A526" t="s">
        <v>478</v>
      </c>
      <c r="B526" t="s">
        <v>2253</v>
      </c>
      <c r="C526" t="s">
        <v>479</v>
      </c>
      <c r="D526" t="s">
        <v>1832</v>
      </c>
      <c r="E526" t="str">
        <f>+CONCATENATE(D526,". FABRICADO EN ",M526,". PUNTERA DE ",N526,". PLANTILLA ",O526,". SUELA DE ",P526)</f>
        <v>BOTA MF S2+CI+FO+SR C/VELC Blanco 35. FABRICADO EN MICROFIBRA. PUNTERA DE Fibra de vidrio. PLANTILLA No lleva. SUELA DE PU/PU DOBLE DENSIDAD</v>
      </c>
      <c r="F526" t="str">
        <f>PROPER(E526)</f>
        <v>Bota Mf S2+Ci+Fo+Sr C/Velc Blanco 35. Fabricado En Microfibra. Puntera De Fibra De Vidrio. Plantilla No Lleva. Suela De Pu/Pu Doble Densidad</v>
      </c>
      <c r="G526" s="24">
        <f>VLOOKUP(B526,Tabla1[],2,0)</f>
        <v>18.95</v>
      </c>
      <c r="H526" s="24">
        <f>+G526/0.7</f>
        <v>27.071428571428573</v>
      </c>
      <c r="I526" s="24">
        <f>+H526*1.21</f>
        <v>32.756428571428572</v>
      </c>
      <c r="J526" s="24" t="s">
        <v>2326</v>
      </c>
      <c r="K526" s="24" t="s">
        <v>2364</v>
      </c>
      <c r="L526" t="s">
        <v>1400</v>
      </c>
      <c r="M526" t="s">
        <v>1407</v>
      </c>
      <c r="N526" t="s">
        <v>1425</v>
      </c>
      <c r="O526" t="s">
        <v>1427</v>
      </c>
      <c r="P526" t="s">
        <v>1429</v>
      </c>
      <c r="Q526">
        <v>35</v>
      </c>
      <c r="R526" s="2">
        <v>8457780322433</v>
      </c>
      <c r="S526" s="3" t="s">
        <v>1125</v>
      </c>
      <c r="T526" t="s">
        <v>1344</v>
      </c>
      <c r="U526" t="s">
        <v>1345</v>
      </c>
    </row>
    <row r="527" spans="1:21" x14ac:dyDescent="0.25">
      <c r="A527" t="s">
        <v>478</v>
      </c>
      <c r="B527" t="s">
        <v>2253</v>
      </c>
      <c r="C527" t="s">
        <v>480</v>
      </c>
      <c r="D527" t="s">
        <v>1833</v>
      </c>
      <c r="E527" t="str">
        <f>+CONCATENATE(D527,". FABRICADO EN ",M527,". PUNTERA DE ",N527,". PLANTILLA ",O527,". SUELA DE ",P527)</f>
        <v>BOTA MF S2+CI+FO+SR C/VELC Blanco 36. FABRICADO EN MICROFIBRA. PUNTERA DE Fibra de vidrio. PLANTILLA No lleva. SUELA DE PU/PU DOBLE DENSIDAD</v>
      </c>
      <c r="F527" t="str">
        <f>PROPER(E527)</f>
        <v>Bota Mf S2+Ci+Fo+Sr C/Velc Blanco 36. Fabricado En Microfibra. Puntera De Fibra De Vidrio. Plantilla No Lleva. Suela De Pu/Pu Doble Densidad</v>
      </c>
      <c r="G527" s="24">
        <f>VLOOKUP(B527,Tabla1[],2,0)</f>
        <v>18.95</v>
      </c>
      <c r="H527" s="24">
        <f>+G527/0.7</f>
        <v>27.071428571428573</v>
      </c>
      <c r="I527" s="24">
        <f>+H527*1.21</f>
        <v>32.756428571428572</v>
      </c>
      <c r="J527" s="24" t="s">
        <v>2326</v>
      </c>
      <c r="K527" s="24" t="s">
        <v>2364</v>
      </c>
      <c r="L527" t="s">
        <v>1400</v>
      </c>
      <c r="M527" t="s">
        <v>1407</v>
      </c>
      <c r="N527" t="s">
        <v>1425</v>
      </c>
      <c r="O527" t="s">
        <v>1427</v>
      </c>
      <c r="P527" t="s">
        <v>1429</v>
      </c>
      <c r="Q527">
        <v>36</v>
      </c>
      <c r="R527" s="2">
        <v>8457780322440</v>
      </c>
      <c r="S527" s="3" t="s">
        <v>1126</v>
      </c>
      <c r="T527" t="s">
        <v>1344</v>
      </c>
      <c r="U527" t="s">
        <v>1345</v>
      </c>
    </row>
    <row r="528" spans="1:21" x14ac:dyDescent="0.25">
      <c r="A528" t="s">
        <v>478</v>
      </c>
      <c r="B528" t="s">
        <v>2253</v>
      </c>
      <c r="C528" t="s">
        <v>481</v>
      </c>
      <c r="D528" t="s">
        <v>1834</v>
      </c>
      <c r="E528" t="str">
        <f>+CONCATENATE(D528,". FABRICADO EN ",M528,". PUNTERA DE ",N528,". PLANTILLA ",O528,". SUELA DE ",P528)</f>
        <v>BOTA MF S2+CI+FO+SR C/VELC Blanco 37. FABRICADO EN MICROFIBRA. PUNTERA DE Fibra de vidrio. PLANTILLA No lleva. SUELA DE PU/PU DOBLE DENSIDAD</v>
      </c>
      <c r="F528" t="str">
        <f>PROPER(E528)</f>
        <v>Bota Mf S2+Ci+Fo+Sr C/Velc Blanco 37. Fabricado En Microfibra. Puntera De Fibra De Vidrio. Plantilla No Lleva. Suela De Pu/Pu Doble Densidad</v>
      </c>
      <c r="G528" s="24">
        <f>VLOOKUP(B528,Tabla1[],2,0)</f>
        <v>18.95</v>
      </c>
      <c r="H528" s="24">
        <f>+G528/0.7</f>
        <v>27.071428571428573</v>
      </c>
      <c r="I528" s="24">
        <f>+H528*1.21</f>
        <v>32.756428571428572</v>
      </c>
      <c r="J528" s="24" t="s">
        <v>2326</v>
      </c>
      <c r="K528" s="24" t="s">
        <v>2364</v>
      </c>
      <c r="L528" t="s">
        <v>1400</v>
      </c>
      <c r="M528" t="s">
        <v>1407</v>
      </c>
      <c r="N528" t="s">
        <v>1425</v>
      </c>
      <c r="O528" t="s">
        <v>1427</v>
      </c>
      <c r="P528" t="s">
        <v>1429</v>
      </c>
      <c r="Q528">
        <v>37</v>
      </c>
      <c r="R528" s="2">
        <v>8457780322457</v>
      </c>
      <c r="S528" s="3" t="s">
        <v>1127</v>
      </c>
      <c r="T528" t="s">
        <v>1344</v>
      </c>
      <c r="U528" t="s">
        <v>1345</v>
      </c>
    </row>
    <row r="529" spans="1:21" x14ac:dyDescent="0.25">
      <c r="A529" t="s">
        <v>478</v>
      </c>
      <c r="B529" t="s">
        <v>2253</v>
      </c>
      <c r="C529" t="s">
        <v>482</v>
      </c>
      <c r="D529" t="s">
        <v>1835</v>
      </c>
      <c r="E529" t="str">
        <f>+CONCATENATE(D529,". FABRICADO EN ",M529,". PUNTERA DE ",N529,". PLANTILLA ",O529,". SUELA DE ",P529)</f>
        <v>BOTA MF S2+CI+FO+SR C/VELC Blanco 38. FABRICADO EN MICROFIBRA. PUNTERA DE Fibra de vidrio. PLANTILLA No lleva. SUELA DE PU/PU DOBLE DENSIDAD</v>
      </c>
      <c r="F529" t="str">
        <f>PROPER(E529)</f>
        <v>Bota Mf S2+Ci+Fo+Sr C/Velc Blanco 38. Fabricado En Microfibra. Puntera De Fibra De Vidrio. Plantilla No Lleva. Suela De Pu/Pu Doble Densidad</v>
      </c>
      <c r="G529" s="24">
        <f>VLOOKUP(B529,Tabla1[],2,0)</f>
        <v>18.95</v>
      </c>
      <c r="H529" s="24">
        <f>+G529/0.7</f>
        <v>27.071428571428573</v>
      </c>
      <c r="I529" s="24">
        <f>+H529*1.21</f>
        <v>32.756428571428572</v>
      </c>
      <c r="J529" s="24" t="s">
        <v>2326</v>
      </c>
      <c r="K529" s="24" t="s">
        <v>2364</v>
      </c>
      <c r="L529" t="s">
        <v>1400</v>
      </c>
      <c r="M529" t="s">
        <v>1407</v>
      </c>
      <c r="N529" t="s">
        <v>1425</v>
      </c>
      <c r="O529" t="s">
        <v>1427</v>
      </c>
      <c r="P529" t="s">
        <v>1429</v>
      </c>
      <c r="Q529">
        <v>38</v>
      </c>
      <c r="R529" s="2">
        <v>8457780322464</v>
      </c>
      <c r="S529" s="3" t="s">
        <v>1128</v>
      </c>
      <c r="T529" t="s">
        <v>1344</v>
      </c>
      <c r="U529" t="s">
        <v>1345</v>
      </c>
    </row>
    <row r="530" spans="1:21" x14ac:dyDescent="0.25">
      <c r="A530" t="s">
        <v>478</v>
      </c>
      <c r="B530" t="s">
        <v>2253</v>
      </c>
      <c r="C530" t="s">
        <v>483</v>
      </c>
      <c r="D530" t="s">
        <v>1836</v>
      </c>
      <c r="E530" t="str">
        <f>+CONCATENATE(D530,". FABRICADO EN ",M530,". PUNTERA DE ",N530,". PLANTILLA ",O530,". SUELA DE ",P530)</f>
        <v>BOTA MF S2+CI+FO+SR C/VELC Blanco 39. FABRICADO EN MICROFIBRA. PUNTERA DE Fibra de vidrio. PLANTILLA No lleva. SUELA DE PU/PU DOBLE DENSIDAD</v>
      </c>
      <c r="F530" t="str">
        <f>PROPER(E530)</f>
        <v>Bota Mf S2+Ci+Fo+Sr C/Velc Blanco 39. Fabricado En Microfibra. Puntera De Fibra De Vidrio. Plantilla No Lleva. Suela De Pu/Pu Doble Densidad</v>
      </c>
      <c r="G530" s="24">
        <f>VLOOKUP(B530,Tabla1[],2,0)</f>
        <v>18.95</v>
      </c>
      <c r="H530" s="24">
        <f>+G530/0.7</f>
        <v>27.071428571428573</v>
      </c>
      <c r="I530" s="24">
        <f>+H530*1.21</f>
        <v>32.756428571428572</v>
      </c>
      <c r="J530" s="24" t="s">
        <v>2326</v>
      </c>
      <c r="K530" s="24" t="s">
        <v>2364</v>
      </c>
      <c r="L530" t="s">
        <v>1400</v>
      </c>
      <c r="M530" t="s">
        <v>1407</v>
      </c>
      <c r="N530" t="s">
        <v>1425</v>
      </c>
      <c r="O530" t="s">
        <v>1427</v>
      </c>
      <c r="P530" t="s">
        <v>1429</v>
      </c>
      <c r="Q530">
        <v>39</v>
      </c>
      <c r="R530" s="2">
        <v>8457780322471</v>
      </c>
      <c r="S530" s="3" t="s">
        <v>1129</v>
      </c>
      <c r="T530" t="s">
        <v>1344</v>
      </c>
      <c r="U530" t="s">
        <v>1345</v>
      </c>
    </row>
    <row r="531" spans="1:21" x14ac:dyDescent="0.25">
      <c r="A531" t="s">
        <v>478</v>
      </c>
      <c r="B531" t="s">
        <v>2253</v>
      </c>
      <c r="C531" t="s">
        <v>484</v>
      </c>
      <c r="D531" t="s">
        <v>1837</v>
      </c>
      <c r="E531" t="str">
        <f>+CONCATENATE(D531,". FABRICADO EN ",M531,". PUNTERA DE ",N531,". PLANTILLA ",O531,". SUELA DE ",P531)</f>
        <v>BOTA MF S2+CI+FO+SR C/VELC Blanco 40. FABRICADO EN MICROFIBRA. PUNTERA DE Fibra de vidrio. PLANTILLA No lleva. SUELA DE PU/PU DOBLE DENSIDAD</v>
      </c>
      <c r="F531" t="str">
        <f>PROPER(E531)</f>
        <v>Bota Mf S2+Ci+Fo+Sr C/Velc Blanco 40. Fabricado En Microfibra. Puntera De Fibra De Vidrio. Plantilla No Lleva. Suela De Pu/Pu Doble Densidad</v>
      </c>
      <c r="G531" s="24">
        <f>VLOOKUP(B531,Tabla1[],2,0)</f>
        <v>18.95</v>
      </c>
      <c r="H531" s="24">
        <f>+G531/0.7</f>
        <v>27.071428571428573</v>
      </c>
      <c r="I531" s="24">
        <f>+H531*1.21</f>
        <v>32.756428571428572</v>
      </c>
      <c r="J531" s="24" t="s">
        <v>2326</v>
      </c>
      <c r="K531" s="24" t="s">
        <v>2364</v>
      </c>
      <c r="L531" t="s">
        <v>1400</v>
      </c>
      <c r="M531" t="s">
        <v>1407</v>
      </c>
      <c r="N531" t="s">
        <v>1425</v>
      </c>
      <c r="O531" t="s">
        <v>1427</v>
      </c>
      <c r="P531" t="s">
        <v>1429</v>
      </c>
      <c r="Q531">
        <v>40</v>
      </c>
      <c r="R531" s="2">
        <v>8457780322488</v>
      </c>
      <c r="S531" s="3" t="s">
        <v>1130</v>
      </c>
      <c r="T531" t="s">
        <v>1344</v>
      </c>
      <c r="U531" t="s">
        <v>1345</v>
      </c>
    </row>
    <row r="532" spans="1:21" x14ac:dyDescent="0.25">
      <c r="A532" t="s">
        <v>478</v>
      </c>
      <c r="B532" t="s">
        <v>2253</v>
      </c>
      <c r="C532" t="s">
        <v>485</v>
      </c>
      <c r="D532" t="s">
        <v>1838</v>
      </c>
      <c r="E532" t="str">
        <f>+CONCATENATE(D532,". FABRICADO EN ",M532,". PUNTERA DE ",N532,". PLANTILLA ",O532,". SUELA DE ",P532)</f>
        <v>BOTA MF S2+CI+FO+SR C/VELC Blanco 41. FABRICADO EN MICROFIBRA. PUNTERA DE Fibra de vidrio. PLANTILLA No lleva. SUELA DE PU/PU DOBLE DENSIDAD</v>
      </c>
      <c r="F532" t="str">
        <f>PROPER(E532)</f>
        <v>Bota Mf S2+Ci+Fo+Sr C/Velc Blanco 41. Fabricado En Microfibra. Puntera De Fibra De Vidrio. Plantilla No Lleva. Suela De Pu/Pu Doble Densidad</v>
      </c>
      <c r="G532" s="24">
        <f>VLOOKUP(B532,Tabla1[],2,0)</f>
        <v>18.95</v>
      </c>
      <c r="H532" s="24">
        <f>+G532/0.7</f>
        <v>27.071428571428573</v>
      </c>
      <c r="I532" s="24">
        <f>+H532*1.21</f>
        <v>32.756428571428572</v>
      </c>
      <c r="J532" s="24" t="s">
        <v>2326</v>
      </c>
      <c r="K532" s="24" t="s">
        <v>2364</v>
      </c>
      <c r="L532" t="s">
        <v>1400</v>
      </c>
      <c r="M532" t="s">
        <v>1407</v>
      </c>
      <c r="N532" t="s">
        <v>1425</v>
      </c>
      <c r="O532" t="s">
        <v>1427</v>
      </c>
      <c r="P532" t="s">
        <v>1429</v>
      </c>
      <c r="Q532">
        <v>41</v>
      </c>
      <c r="R532" s="2">
        <v>8457780322495</v>
      </c>
      <c r="S532" s="3" t="s">
        <v>1131</v>
      </c>
      <c r="T532" t="s">
        <v>1344</v>
      </c>
      <c r="U532" t="s">
        <v>1345</v>
      </c>
    </row>
    <row r="533" spans="1:21" x14ac:dyDescent="0.25">
      <c r="A533" t="s">
        <v>478</v>
      </c>
      <c r="B533" t="s">
        <v>2253</v>
      </c>
      <c r="C533" t="s">
        <v>486</v>
      </c>
      <c r="D533" t="s">
        <v>1839</v>
      </c>
      <c r="E533" t="str">
        <f>+CONCATENATE(D533,". FABRICADO EN ",M533,". PUNTERA DE ",N533,". PLANTILLA ",O533,". SUELA DE ",P533)</f>
        <v>BOTA MF S2+CI+FO+SR C/VELC Blanco 42. FABRICADO EN MICROFIBRA. PUNTERA DE Fibra de vidrio. PLANTILLA No lleva. SUELA DE PU/PU DOBLE DENSIDAD</v>
      </c>
      <c r="F533" t="str">
        <f>PROPER(E533)</f>
        <v>Bota Mf S2+Ci+Fo+Sr C/Velc Blanco 42. Fabricado En Microfibra. Puntera De Fibra De Vidrio. Plantilla No Lleva. Suela De Pu/Pu Doble Densidad</v>
      </c>
      <c r="G533" s="24">
        <f>VLOOKUP(B533,Tabla1[],2,0)</f>
        <v>18.95</v>
      </c>
      <c r="H533" s="24">
        <f>+G533/0.7</f>
        <v>27.071428571428573</v>
      </c>
      <c r="I533" s="24">
        <f>+H533*1.21</f>
        <v>32.756428571428572</v>
      </c>
      <c r="J533" s="24" t="s">
        <v>2326</v>
      </c>
      <c r="K533" s="24" t="s">
        <v>2364</v>
      </c>
      <c r="L533" t="s">
        <v>1400</v>
      </c>
      <c r="M533" t="s">
        <v>1407</v>
      </c>
      <c r="N533" t="s">
        <v>1425</v>
      </c>
      <c r="O533" t="s">
        <v>1427</v>
      </c>
      <c r="P533" t="s">
        <v>1429</v>
      </c>
      <c r="Q533">
        <v>42</v>
      </c>
      <c r="R533" s="2">
        <v>8457780322501</v>
      </c>
      <c r="S533" s="3" t="s">
        <v>1132</v>
      </c>
      <c r="T533" t="s">
        <v>1344</v>
      </c>
      <c r="U533" t="s">
        <v>1345</v>
      </c>
    </row>
    <row r="534" spans="1:21" x14ac:dyDescent="0.25">
      <c r="A534" t="s">
        <v>478</v>
      </c>
      <c r="B534" t="s">
        <v>2253</v>
      </c>
      <c r="C534" t="s">
        <v>487</v>
      </c>
      <c r="D534" t="s">
        <v>1840</v>
      </c>
      <c r="E534" t="str">
        <f>+CONCATENATE(D534,". FABRICADO EN ",M534,". PUNTERA DE ",N534,". PLANTILLA ",O534,". SUELA DE ",P534)</f>
        <v>BOTA MF S2+CI+FO+SR C/VELC Blanco 43. FABRICADO EN MICROFIBRA. PUNTERA DE Fibra de vidrio. PLANTILLA No lleva. SUELA DE PU/PU DOBLE DENSIDAD</v>
      </c>
      <c r="F534" t="str">
        <f>PROPER(E534)</f>
        <v>Bota Mf S2+Ci+Fo+Sr C/Velc Blanco 43. Fabricado En Microfibra. Puntera De Fibra De Vidrio. Plantilla No Lleva. Suela De Pu/Pu Doble Densidad</v>
      </c>
      <c r="G534" s="24">
        <f>VLOOKUP(B534,Tabla1[],2,0)</f>
        <v>18.95</v>
      </c>
      <c r="H534" s="24">
        <f>+G534/0.7</f>
        <v>27.071428571428573</v>
      </c>
      <c r="I534" s="24">
        <f>+H534*1.21</f>
        <v>32.756428571428572</v>
      </c>
      <c r="J534" s="24" t="s">
        <v>2326</v>
      </c>
      <c r="K534" s="24" t="s">
        <v>2364</v>
      </c>
      <c r="L534" t="s">
        <v>1400</v>
      </c>
      <c r="M534" t="s">
        <v>1407</v>
      </c>
      <c r="N534" t="s">
        <v>1425</v>
      </c>
      <c r="O534" t="s">
        <v>1427</v>
      </c>
      <c r="P534" t="s">
        <v>1429</v>
      </c>
      <c r="Q534">
        <v>43</v>
      </c>
      <c r="R534" s="2">
        <v>8457780322518</v>
      </c>
      <c r="S534" s="3" t="s">
        <v>1133</v>
      </c>
      <c r="T534" t="s">
        <v>1344</v>
      </c>
      <c r="U534" t="s">
        <v>1345</v>
      </c>
    </row>
    <row r="535" spans="1:21" x14ac:dyDescent="0.25">
      <c r="A535" t="s">
        <v>478</v>
      </c>
      <c r="B535" t="s">
        <v>2253</v>
      </c>
      <c r="C535" t="s">
        <v>488</v>
      </c>
      <c r="D535" t="s">
        <v>1841</v>
      </c>
      <c r="E535" t="str">
        <f>+CONCATENATE(D535,". FABRICADO EN ",M535,". PUNTERA DE ",N535,". PLANTILLA ",O535,". SUELA DE ",P535)</f>
        <v>BOTA MF S2+CI+FO+SR C/VELC Blanco 44. FABRICADO EN MICROFIBRA. PUNTERA DE Fibra de vidrio. PLANTILLA No lleva. SUELA DE PU/PU DOBLE DENSIDAD</v>
      </c>
      <c r="F535" t="str">
        <f>PROPER(E535)</f>
        <v>Bota Mf S2+Ci+Fo+Sr C/Velc Blanco 44. Fabricado En Microfibra. Puntera De Fibra De Vidrio. Plantilla No Lleva. Suela De Pu/Pu Doble Densidad</v>
      </c>
      <c r="G535" s="24">
        <f>VLOOKUP(B535,Tabla1[],2,0)</f>
        <v>18.95</v>
      </c>
      <c r="H535" s="24">
        <f>+G535/0.7</f>
        <v>27.071428571428573</v>
      </c>
      <c r="I535" s="24">
        <f>+H535*1.21</f>
        <v>32.756428571428572</v>
      </c>
      <c r="J535" s="24" t="s">
        <v>2326</v>
      </c>
      <c r="K535" s="24" t="s">
        <v>2364</v>
      </c>
      <c r="L535" t="s">
        <v>1400</v>
      </c>
      <c r="M535" t="s">
        <v>1407</v>
      </c>
      <c r="N535" t="s">
        <v>1425</v>
      </c>
      <c r="O535" t="s">
        <v>1427</v>
      </c>
      <c r="P535" t="s">
        <v>1429</v>
      </c>
      <c r="Q535">
        <v>44</v>
      </c>
      <c r="R535" s="2">
        <v>8457780322525</v>
      </c>
      <c r="S535" s="3" t="s">
        <v>1134</v>
      </c>
      <c r="T535" t="s">
        <v>1344</v>
      </c>
      <c r="U535" t="s">
        <v>1345</v>
      </c>
    </row>
    <row r="536" spans="1:21" x14ac:dyDescent="0.25">
      <c r="A536" t="s">
        <v>478</v>
      </c>
      <c r="B536" t="s">
        <v>2253</v>
      </c>
      <c r="C536" t="s">
        <v>489</v>
      </c>
      <c r="D536" t="s">
        <v>1842</v>
      </c>
      <c r="E536" t="str">
        <f>+CONCATENATE(D536,". FABRICADO EN ",M536,". PUNTERA DE ",N536,". PLANTILLA ",O536,". SUELA DE ",P536)</f>
        <v>BOTA MF S2+CI+FO+SR C/VELC Blanco 45. FABRICADO EN MICROFIBRA. PUNTERA DE Fibra de vidrio. PLANTILLA No lleva. SUELA DE PU/PU DOBLE DENSIDAD</v>
      </c>
      <c r="F536" t="str">
        <f>PROPER(E536)</f>
        <v>Bota Mf S2+Ci+Fo+Sr C/Velc Blanco 45. Fabricado En Microfibra. Puntera De Fibra De Vidrio. Plantilla No Lleva. Suela De Pu/Pu Doble Densidad</v>
      </c>
      <c r="G536" s="24">
        <f>VLOOKUP(B536,Tabla1[],2,0)</f>
        <v>18.95</v>
      </c>
      <c r="H536" s="24">
        <f>+G536/0.7</f>
        <v>27.071428571428573</v>
      </c>
      <c r="I536" s="24">
        <f>+H536*1.21</f>
        <v>32.756428571428572</v>
      </c>
      <c r="J536" s="24" t="s">
        <v>2326</v>
      </c>
      <c r="K536" s="24" t="s">
        <v>2364</v>
      </c>
      <c r="L536" t="s">
        <v>1400</v>
      </c>
      <c r="M536" t="s">
        <v>1407</v>
      </c>
      <c r="N536" t="s">
        <v>1425</v>
      </c>
      <c r="O536" t="s">
        <v>1427</v>
      </c>
      <c r="P536" t="s">
        <v>1429</v>
      </c>
      <c r="Q536">
        <v>45</v>
      </c>
      <c r="R536" s="2">
        <v>8457780322532</v>
      </c>
      <c r="S536" s="3" t="s">
        <v>1135</v>
      </c>
      <c r="T536" t="s">
        <v>1344</v>
      </c>
      <c r="U536" t="s">
        <v>1345</v>
      </c>
    </row>
    <row r="537" spans="1:21" x14ac:dyDescent="0.25">
      <c r="A537" t="s">
        <v>478</v>
      </c>
      <c r="B537" t="s">
        <v>2253</v>
      </c>
      <c r="C537" t="s">
        <v>490</v>
      </c>
      <c r="D537" t="s">
        <v>1843</v>
      </c>
      <c r="E537" t="str">
        <f>+CONCATENATE(D537,". FABRICADO EN ",M537,". PUNTERA DE ",N537,". PLANTILLA ",O537,". SUELA DE ",P537)</f>
        <v>BOTA MF S2+CI+FO+SR C/VELC Blanco 46. FABRICADO EN MICROFIBRA. PUNTERA DE Fibra de vidrio. PLANTILLA No lleva. SUELA DE PU/PU DOBLE DENSIDAD</v>
      </c>
      <c r="F537" t="str">
        <f>PROPER(E537)</f>
        <v>Bota Mf S2+Ci+Fo+Sr C/Velc Blanco 46. Fabricado En Microfibra. Puntera De Fibra De Vidrio. Plantilla No Lleva. Suela De Pu/Pu Doble Densidad</v>
      </c>
      <c r="G537" s="24">
        <f>VLOOKUP(B537,Tabla1[],2,0)</f>
        <v>18.95</v>
      </c>
      <c r="H537" s="24">
        <f>+G537/0.7</f>
        <v>27.071428571428573</v>
      </c>
      <c r="I537" s="24">
        <f>+H537*1.21</f>
        <v>32.756428571428572</v>
      </c>
      <c r="J537" s="24" t="s">
        <v>2326</v>
      </c>
      <c r="K537" s="24" t="s">
        <v>2364</v>
      </c>
      <c r="L537" t="s">
        <v>1400</v>
      </c>
      <c r="M537" t="s">
        <v>1407</v>
      </c>
      <c r="N537" t="s">
        <v>1425</v>
      </c>
      <c r="O537" t="s">
        <v>1427</v>
      </c>
      <c r="P537" t="s">
        <v>1429</v>
      </c>
      <c r="Q537">
        <v>46</v>
      </c>
      <c r="R537" s="2">
        <v>8457780322549</v>
      </c>
      <c r="S537" s="3" t="s">
        <v>1136</v>
      </c>
      <c r="T537" t="s">
        <v>1344</v>
      </c>
      <c r="U537" t="s">
        <v>1345</v>
      </c>
    </row>
    <row r="538" spans="1:21" x14ac:dyDescent="0.25">
      <c r="A538" t="s">
        <v>478</v>
      </c>
      <c r="B538" t="s">
        <v>2253</v>
      </c>
      <c r="C538" t="s">
        <v>491</v>
      </c>
      <c r="D538" t="s">
        <v>1844</v>
      </c>
      <c r="E538" t="str">
        <f>+CONCATENATE(D538,". FABRICADO EN ",M538,". PUNTERA DE ",N538,". PLANTILLA ",O538,". SUELA DE ",P538)</f>
        <v>BOTA MF S2+CI+FO+SR C/VELC Blanco 47. FABRICADO EN MICROFIBRA. PUNTERA DE Fibra de vidrio. PLANTILLA No lleva. SUELA DE PU/PU DOBLE DENSIDAD</v>
      </c>
      <c r="F538" t="str">
        <f>PROPER(E538)</f>
        <v>Bota Mf S2+Ci+Fo+Sr C/Velc Blanco 47. Fabricado En Microfibra. Puntera De Fibra De Vidrio. Plantilla No Lleva. Suela De Pu/Pu Doble Densidad</v>
      </c>
      <c r="G538" s="24">
        <f>VLOOKUP(B538,Tabla1[],2,0)</f>
        <v>18.95</v>
      </c>
      <c r="H538" s="24">
        <f>+G538/0.7</f>
        <v>27.071428571428573</v>
      </c>
      <c r="I538" s="24">
        <f>+H538*1.21</f>
        <v>32.756428571428572</v>
      </c>
      <c r="J538" s="24" t="s">
        <v>2326</v>
      </c>
      <c r="K538" s="24" t="s">
        <v>2364</v>
      </c>
      <c r="L538" t="s">
        <v>1400</v>
      </c>
      <c r="M538" t="s">
        <v>1407</v>
      </c>
      <c r="N538" t="s">
        <v>1425</v>
      </c>
      <c r="O538" t="s">
        <v>1427</v>
      </c>
      <c r="P538" t="s">
        <v>1429</v>
      </c>
      <c r="Q538">
        <v>47</v>
      </c>
      <c r="R538" s="2">
        <v>8457780322556</v>
      </c>
      <c r="S538" s="3" t="s">
        <v>1137</v>
      </c>
      <c r="T538" t="s">
        <v>1344</v>
      </c>
      <c r="U538" t="s">
        <v>1345</v>
      </c>
    </row>
    <row r="539" spans="1:21" x14ac:dyDescent="0.25">
      <c r="A539" t="s">
        <v>478</v>
      </c>
      <c r="B539" t="s">
        <v>2253</v>
      </c>
      <c r="C539" t="s">
        <v>492</v>
      </c>
      <c r="D539" t="s">
        <v>1845</v>
      </c>
      <c r="E539" t="str">
        <f>+CONCATENATE(D539,". FABRICADO EN ",M539,". PUNTERA DE ",N539,". PLANTILLA ",O539,". SUELA DE ",P539)</f>
        <v>BOTA MF S2+CI+FO+SR C/VELC Blanco 48. FABRICADO EN MICROFIBRA. PUNTERA DE Fibra de vidrio. PLANTILLA No lleva. SUELA DE PU/PU DOBLE DENSIDAD</v>
      </c>
      <c r="F539" t="str">
        <f>PROPER(E539)</f>
        <v>Bota Mf S2+Ci+Fo+Sr C/Velc Blanco 48. Fabricado En Microfibra. Puntera De Fibra De Vidrio. Plantilla No Lleva. Suela De Pu/Pu Doble Densidad</v>
      </c>
      <c r="G539" s="24">
        <f>VLOOKUP(B539,Tabla1[],2,0)</f>
        <v>18.95</v>
      </c>
      <c r="H539" s="24">
        <f>+G539/0.7</f>
        <v>27.071428571428573</v>
      </c>
      <c r="I539" s="24">
        <f>+H539*1.21</f>
        <v>32.756428571428572</v>
      </c>
      <c r="J539" s="24" t="s">
        <v>2326</v>
      </c>
      <c r="K539" s="24" t="s">
        <v>2364</v>
      </c>
      <c r="L539" t="s">
        <v>1400</v>
      </c>
      <c r="M539" t="s">
        <v>1407</v>
      </c>
      <c r="N539" t="s">
        <v>1425</v>
      </c>
      <c r="O539" t="s">
        <v>1427</v>
      </c>
      <c r="P539" t="s">
        <v>1429</v>
      </c>
      <c r="Q539">
        <v>48</v>
      </c>
      <c r="R539" s="2">
        <v>8457780322563</v>
      </c>
      <c r="S539" s="3" t="s">
        <v>1138</v>
      </c>
      <c r="T539" t="s">
        <v>1344</v>
      </c>
      <c r="U539" t="s">
        <v>1345</v>
      </c>
    </row>
    <row r="540" spans="1:21" x14ac:dyDescent="0.25">
      <c r="A540" t="s">
        <v>2165</v>
      </c>
      <c r="B540" t="s">
        <v>2254</v>
      </c>
      <c r="C540" t="s">
        <v>2039</v>
      </c>
      <c r="D540" t="s">
        <v>2040</v>
      </c>
      <c r="E540" t="str">
        <f>+CONCATENATE(D540,". FABRICADO EN ",M540,". PUNTERA DE ",N540,". PLANTILLA ",O540,". SUELA DE ",P540)</f>
        <v>BOTA MF S2+CI+FO+SR C/VELC Negro 35. FABRICADO EN MICROFIBRA. PUNTERA DE Fibra de vidrio. PLANTILLA No lleva. SUELA DE PU/PU DOBLE DENSIDAD</v>
      </c>
      <c r="F540" t="str">
        <f>PROPER(E540)</f>
        <v>Bota Mf S2+Ci+Fo+Sr C/Velc Negro 35. Fabricado En Microfibra. Puntera De Fibra De Vidrio. Plantilla No Lleva. Suela De Pu/Pu Doble Densidad</v>
      </c>
      <c r="G540" s="24">
        <v>18.95</v>
      </c>
      <c r="H540" s="24">
        <f>+G540/0.7</f>
        <v>27.071428571428573</v>
      </c>
      <c r="I540" s="24">
        <f>+H540*1.21</f>
        <v>32.756428571428572</v>
      </c>
      <c r="J540" s="24" t="s">
        <v>2326</v>
      </c>
      <c r="K540" s="24" t="s">
        <v>2364</v>
      </c>
      <c r="L540" t="s">
        <v>1392</v>
      </c>
      <c r="M540" t="s">
        <v>1407</v>
      </c>
      <c r="N540" t="s">
        <v>1425</v>
      </c>
      <c r="O540" t="s">
        <v>1427</v>
      </c>
      <c r="P540" t="s">
        <v>1429</v>
      </c>
      <c r="Q540">
        <v>35</v>
      </c>
      <c r="R540" s="3">
        <v>8457780348266</v>
      </c>
      <c r="S540" s="3">
        <v>18457780348263</v>
      </c>
      <c r="T540" t="s">
        <v>2166</v>
      </c>
    </row>
    <row r="541" spans="1:21" x14ac:dyDescent="0.25">
      <c r="A541" t="s">
        <v>2165</v>
      </c>
      <c r="B541" t="s">
        <v>2254</v>
      </c>
      <c r="C541" t="s">
        <v>2041</v>
      </c>
      <c r="D541" t="s">
        <v>2042</v>
      </c>
      <c r="E541" t="str">
        <f>+CONCATENATE(D541,". FABRICADO EN ",M541,". PUNTERA DE ",N541,". PLANTILLA ",O541,". SUELA DE ",P541)</f>
        <v>BOTA MF S2+CI+FO+SR C/VELC Negro 36. FABRICADO EN MICROFIBRA. PUNTERA DE Fibra de vidrio. PLANTILLA No lleva. SUELA DE PU/PU DOBLE DENSIDAD</v>
      </c>
      <c r="F541" t="str">
        <f>PROPER(E541)</f>
        <v>Bota Mf S2+Ci+Fo+Sr C/Velc Negro 36. Fabricado En Microfibra. Puntera De Fibra De Vidrio. Plantilla No Lleva. Suela De Pu/Pu Doble Densidad</v>
      </c>
      <c r="G541" s="24">
        <v>18.95</v>
      </c>
      <c r="H541" s="24">
        <f>+G541/0.7</f>
        <v>27.071428571428573</v>
      </c>
      <c r="I541" s="24">
        <f>+H541*1.21</f>
        <v>32.756428571428572</v>
      </c>
      <c r="J541" s="24" t="s">
        <v>2326</v>
      </c>
      <c r="K541" s="24" t="s">
        <v>2364</v>
      </c>
      <c r="L541" t="s">
        <v>1392</v>
      </c>
      <c r="M541" t="s">
        <v>1407</v>
      </c>
      <c r="N541" t="s">
        <v>1425</v>
      </c>
      <c r="O541" t="s">
        <v>1427</v>
      </c>
      <c r="P541" t="s">
        <v>1429</v>
      </c>
      <c r="Q541">
        <v>36</v>
      </c>
      <c r="R541" s="3">
        <v>8457780348273</v>
      </c>
      <c r="S541" s="3">
        <v>18457780348270</v>
      </c>
      <c r="T541" t="s">
        <v>2166</v>
      </c>
    </row>
    <row r="542" spans="1:21" x14ac:dyDescent="0.25">
      <c r="A542" t="s">
        <v>2165</v>
      </c>
      <c r="B542" t="s">
        <v>2254</v>
      </c>
      <c r="C542" t="s">
        <v>2043</v>
      </c>
      <c r="D542" t="s">
        <v>2044</v>
      </c>
      <c r="E542" t="str">
        <f>+CONCATENATE(D542,". FABRICADO EN ",M542,". PUNTERA DE ",N542,". PLANTILLA ",O542,". SUELA DE ",P542)</f>
        <v>BOTA MF S2+CI+FO+SR C/VELC Negro 37. FABRICADO EN MICROFIBRA. PUNTERA DE Fibra de vidrio. PLANTILLA No lleva. SUELA DE PU/PU DOBLE DENSIDAD</v>
      </c>
      <c r="F542" t="str">
        <f>PROPER(E542)</f>
        <v>Bota Mf S2+Ci+Fo+Sr C/Velc Negro 37. Fabricado En Microfibra. Puntera De Fibra De Vidrio. Plantilla No Lleva. Suela De Pu/Pu Doble Densidad</v>
      </c>
      <c r="G542" s="24">
        <v>18.95</v>
      </c>
      <c r="H542" s="24">
        <f>+G542/0.7</f>
        <v>27.071428571428573</v>
      </c>
      <c r="I542" s="24">
        <f>+H542*1.21</f>
        <v>32.756428571428572</v>
      </c>
      <c r="J542" s="24" t="s">
        <v>2326</v>
      </c>
      <c r="K542" s="24" t="s">
        <v>2364</v>
      </c>
      <c r="L542" t="s">
        <v>1392</v>
      </c>
      <c r="M542" t="s">
        <v>1407</v>
      </c>
      <c r="N542" t="s">
        <v>1425</v>
      </c>
      <c r="O542" t="s">
        <v>1427</v>
      </c>
      <c r="P542" t="s">
        <v>1429</v>
      </c>
      <c r="Q542">
        <v>37</v>
      </c>
      <c r="R542" s="3">
        <v>8457780348280</v>
      </c>
      <c r="S542" s="3">
        <v>18457780348287</v>
      </c>
      <c r="T542" t="s">
        <v>2166</v>
      </c>
    </row>
    <row r="543" spans="1:21" x14ac:dyDescent="0.25">
      <c r="A543" t="s">
        <v>2165</v>
      </c>
      <c r="B543" t="s">
        <v>2254</v>
      </c>
      <c r="C543" t="s">
        <v>2045</v>
      </c>
      <c r="D543" t="s">
        <v>2046</v>
      </c>
      <c r="E543" t="str">
        <f>+CONCATENATE(D543,". FABRICADO EN ",M543,". PUNTERA DE ",N543,". PLANTILLA ",O543,". SUELA DE ",P543)</f>
        <v>BOTA MF S2+CI+FO+SR C/VELC Negro 38. FABRICADO EN MICROFIBRA. PUNTERA DE Fibra de vidrio. PLANTILLA No lleva. SUELA DE PU/PU DOBLE DENSIDAD</v>
      </c>
      <c r="F543" t="str">
        <f>PROPER(E543)</f>
        <v>Bota Mf S2+Ci+Fo+Sr C/Velc Negro 38. Fabricado En Microfibra. Puntera De Fibra De Vidrio. Plantilla No Lleva. Suela De Pu/Pu Doble Densidad</v>
      </c>
      <c r="G543" s="24">
        <v>18.95</v>
      </c>
      <c r="H543" s="24">
        <f>+G543/0.7</f>
        <v>27.071428571428573</v>
      </c>
      <c r="I543" s="24">
        <f>+H543*1.21</f>
        <v>32.756428571428572</v>
      </c>
      <c r="J543" s="24" t="s">
        <v>2326</v>
      </c>
      <c r="K543" s="24" t="s">
        <v>2364</v>
      </c>
      <c r="L543" t="s">
        <v>1392</v>
      </c>
      <c r="M543" t="s">
        <v>1407</v>
      </c>
      <c r="N543" t="s">
        <v>1425</v>
      </c>
      <c r="O543" t="s">
        <v>1427</v>
      </c>
      <c r="P543" t="s">
        <v>1429</v>
      </c>
      <c r="Q543">
        <v>38</v>
      </c>
      <c r="R543" s="3">
        <v>8457780348297</v>
      </c>
      <c r="S543" s="3">
        <v>18457780348294</v>
      </c>
      <c r="T543" t="s">
        <v>2166</v>
      </c>
    </row>
    <row r="544" spans="1:21" x14ac:dyDescent="0.25">
      <c r="A544" t="s">
        <v>2165</v>
      </c>
      <c r="B544" t="s">
        <v>2254</v>
      </c>
      <c r="C544" t="s">
        <v>2047</v>
      </c>
      <c r="D544" t="s">
        <v>2048</v>
      </c>
      <c r="E544" t="str">
        <f>+CONCATENATE(D544,". FABRICADO EN ",M544,". PUNTERA DE ",N544,". PLANTILLA ",O544,". SUELA DE ",P544)</f>
        <v>BOTA MF S2+CI+FO+SR C/VELC Negro 39. FABRICADO EN MICROFIBRA. PUNTERA DE Fibra de vidrio. PLANTILLA No lleva. SUELA DE PU/PU DOBLE DENSIDAD</v>
      </c>
      <c r="F544" t="str">
        <f>PROPER(E544)</f>
        <v>Bota Mf S2+Ci+Fo+Sr C/Velc Negro 39. Fabricado En Microfibra. Puntera De Fibra De Vidrio. Plantilla No Lleva. Suela De Pu/Pu Doble Densidad</v>
      </c>
      <c r="G544" s="24">
        <v>18.95</v>
      </c>
      <c r="H544" s="24">
        <f>+G544/0.7</f>
        <v>27.071428571428573</v>
      </c>
      <c r="I544" s="24">
        <f>+H544*1.21</f>
        <v>32.756428571428572</v>
      </c>
      <c r="J544" s="24" t="s">
        <v>2326</v>
      </c>
      <c r="K544" s="24" t="s">
        <v>2364</v>
      </c>
      <c r="L544" t="s">
        <v>1392</v>
      </c>
      <c r="M544" t="s">
        <v>1407</v>
      </c>
      <c r="N544" t="s">
        <v>1425</v>
      </c>
      <c r="O544" t="s">
        <v>1427</v>
      </c>
      <c r="P544" t="s">
        <v>1429</v>
      </c>
      <c r="Q544">
        <v>39</v>
      </c>
      <c r="R544" s="3">
        <v>8457780348303</v>
      </c>
      <c r="S544" s="3">
        <v>18457780348300</v>
      </c>
      <c r="T544" t="s">
        <v>2166</v>
      </c>
    </row>
    <row r="545" spans="1:21" x14ac:dyDescent="0.25">
      <c r="A545" t="s">
        <v>2165</v>
      </c>
      <c r="B545" t="s">
        <v>2254</v>
      </c>
      <c r="C545" t="s">
        <v>2049</v>
      </c>
      <c r="D545" t="s">
        <v>2050</v>
      </c>
      <c r="E545" t="str">
        <f>+CONCATENATE(D545,". FABRICADO EN ",M545,". PUNTERA DE ",N545,". PLANTILLA ",O545,". SUELA DE ",P545)</f>
        <v>BOTA MF S2+CI+FO+SR C/VELC Negro 40. FABRICADO EN MICROFIBRA. PUNTERA DE Fibra de vidrio. PLANTILLA No lleva. SUELA DE PU/PU DOBLE DENSIDAD</v>
      </c>
      <c r="F545" t="str">
        <f>PROPER(E545)</f>
        <v>Bota Mf S2+Ci+Fo+Sr C/Velc Negro 40. Fabricado En Microfibra. Puntera De Fibra De Vidrio. Plantilla No Lleva. Suela De Pu/Pu Doble Densidad</v>
      </c>
      <c r="G545" s="24">
        <v>18.95</v>
      </c>
      <c r="H545" s="24">
        <f>+G545/0.7</f>
        <v>27.071428571428573</v>
      </c>
      <c r="I545" s="24">
        <f>+H545*1.21</f>
        <v>32.756428571428572</v>
      </c>
      <c r="J545" s="24" t="s">
        <v>2326</v>
      </c>
      <c r="K545" s="24" t="s">
        <v>2364</v>
      </c>
      <c r="L545" t="s">
        <v>1392</v>
      </c>
      <c r="M545" t="s">
        <v>1407</v>
      </c>
      <c r="N545" t="s">
        <v>1425</v>
      </c>
      <c r="O545" t="s">
        <v>1427</v>
      </c>
      <c r="P545" t="s">
        <v>1429</v>
      </c>
      <c r="Q545">
        <v>40</v>
      </c>
      <c r="R545" s="3">
        <v>8457780348310</v>
      </c>
      <c r="S545" s="3">
        <v>18457780348317</v>
      </c>
      <c r="T545" t="s">
        <v>2166</v>
      </c>
    </row>
    <row r="546" spans="1:21" x14ac:dyDescent="0.25">
      <c r="A546" t="s">
        <v>2165</v>
      </c>
      <c r="B546" t="s">
        <v>2254</v>
      </c>
      <c r="C546" t="s">
        <v>2051</v>
      </c>
      <c r="D546" t="s">
        <v>2052</v>
      </c>
      <c r="E546" t="str">
        <f>+CONCATENATE(D546,". FABRICADO EN ",M546,". PUNTERA DE ",N546,". PLANTILLA ",O546,". SUELA DE ",P546)</f>
        <v>BOTA MF S2+CI+FO+SR C/VELC Negro 41. FABRICADO EN MICROFIBRA. PUNTERA DE Fibra de vidrio. PLANTILLA No lleva. SUELA DE PU/PU DOBLE DENSIDAD</v>
      </c>
      <c r="F546" t="str">
        <f>PROPER(E546)</f>
        <v>Bota Mf S2+Ci+Fo+Sr C/Velc Negro 41. Fabricado En Microfibra. Puntera De Fibra De Vidrio. Plantilla No Lleva. Suela De Pu/Pu Doble Densidad</v>
      </c>
      <c r="G546" s="24">
        <v>18.95</v>
      </c>
      <c r="H546" s="24">
        <f>+G546/0.7</f>
        <v>27.071428571428573</v>
      </c>
      <c r="I546" s="24">
        <f>+H546*1.21</f>
        <v>32.756428571428572</v>
      </c>
      <c r="J546" s="24" t="s">
        <v>2326</v>
      </c>
      <c r="K546" s="24" t="s">
        <v>2364</v>
      </c>
      <c r="L546" t="s">
        <v>1392</v>
      </c>
      <c r="M546" t="s">
        <v>1407</v>
      </c>
      <c r="N546" t="s">
        <v>1425</v>
      </c>
      <c r="O546" t="s">
        <v>1427</v>
      </c>
      <c r="P546" t="s">
        <v>1429</v>
      </c>
      <c r="Q546">
        <v>41</v>
      </c>
      <c r="R546" s="3">
        <v>8457780348327</v>
      </c>
      <c r="S546" s="3">
        <v>18457780348324</v>
      </c>
      <c r="T546" t="s">
        <v>2166</v>
      </c>
    </row>
    <row r="547" spans="1:21" x14ac:dyDescent="0.25">
      <c r="A547" t="s">
        <v>2165</v>
      </c>
      <c r="B547" t="s">
        <v>2254</v>
      </c>
      <c r="C547" t="s">
        <v>2053</v>
      </c>
      <c r="D547" t="s">
        <v>2054</v>
      </c>
      <c r="E547" t="str">
        <f>+CONCATENATE(D547,". FABRICADO EN ",M547,". PUNTERA DE ",N547,". PLANTILLA ",O547,". SUELA DE ",P547)</f>
        <v>BOTA MF S2+CI+FO+SR C/VELC Negro 42. FABRICADO EN MICROFIBRA. PUNTERA DE Fibra de vidrio. PLANTILLA No lleva. SUELA DE PU/PU DOBLE DENSIDAD</v>
      </c>
      <c r="F547" t="str">
        <f>PROPER(E547)</f>
        <v>Bota Mf S2+Ci+Fo+Sr C/Velc Negro 42. Fabricado En Microfibra. Puntera De Fibra De Vidrio. Plantilla No Lleva. Suela De Pu/Pu Doble Densidad</v>
      </c>
      <c r="G547" s="24">
        <v>18.95</v>
      </c>
      <c r="H547" s="24">
        <f>+G547/0.7</f>
        <v>27.071428571428573</v>
      </c>
      <c r="I547" s="24">
        <f>+H547*1.21</f>
        <v>32.756428571428572</v>
      </c>
      <c r="J547" s="24" t="s">
        <v>2326</v>
      </c>
      <c r="K547" s="24" t="s">
        <v>2364</v>
      </c>
      <c r="L547" t="s">
        <v>1392</v>
      </c>
      <c r="M547" t="s">
        <v>1407</v>
      </c>
      <c r="N547" t="s">
        <v>1425</v>
      </c>
      <c r="O547" t="s">
        <v>1427</v>
      </c>
      <c r="P547" t="s">
        <v>1429</v>
      </c>
      <c r="Q547">
        <v>42</v>
      </c>
      <c r="R547" s="3">
        <v>8457780348334</v>
      </c>
      <c r="S547" s="3">
        <v>18457780348331</v>
      </c>
      <c r="T547" t="s">
        <v>2166</v>
      </c>
    </row>
    <row r="548" spans="1:21" x14ac:dyDescent="0.25">
      <c r="A548" t="s">
        <v>2165</v>
      </c>
      <c r="B548" t="s">
        <v>2254</v>
      </c>
      <c r="C548" t="s">
        <v>2055</v>
      </c>
      <c r="D548" t="s">
        <v>2056</v>
      </c>
      <c r="E548" t="str">
        <f>+CONCATENATE(D548,". FABRICADO EN ",M548,". PUNTERA DE ",N548,". PLANTILLA ",O548,". SUELA DE ",P548)</f>
        <v>BOTA MF S2+CI+FO+SR C/VELC Negro 43. FABRICADO EN MICROFIBRA. PUNTERA DE Fibra de vidrio. PLANTILLA No lleva. SUELA DE PU/PU DOBLE DENSIDAD</v>
      </c>
      <c r="F548" t="str">
        <f>PROPER(E548)</f>
        <v>Bota Mf S2+Ci+Fo+Sr C/Velc Negro 43. Fabricado En Microfibra. Puntera De Fibra De Vidrio. Plantilla No Lleva. Suela De Pu/Pu Doble Densidad</v>
      </c>
      <c r="G548" s="24">
        <v>18.95</v>
      </c>
      <c r="H548" s="24">
        <f>+G548/0.7</f>
        <v>27.071428571428573</v>
      </c>
      <c r="I548" s="24">
        <f>+H548*1.21</f>
        <v>32.756428571428572</v>
      </c>
      <c r="J548" s="24" t="s">
        <v>2326</v>
      </c>
      <c r="K548" s="24" t="s">
        <v>2364</v>
      </c>
      <c r="L548" t="s">
        <v>1392</v>
      </c>
      <c r="M548" t="s">
        <v>1407</v>
      </c>
      <c r="N548" t="s">
        <v>1425</v>
      </c>
      <c r="O548" t="s">
        <v>1427</v>
      </c>
      <c r="P548" t="s">
        <v>1429</v>
      </c>
      <c r="Q548">
        <v>43</v>
      </c>
      <c r="R548" s="3">
        <v>8457780348341</v>
      </c>
      <c r="S548" s="3">
        <v>18457780348348</v>
      </c>
      <c r="T548" t="s">
        <v>2166</v>
      </c>
    </row>
    <row r="549" spans="1:21" x14ac:dyDescent="0.25">
      <c r="A549" t="s">
        <v>2165</v>
      </c>
      <c r="B549" t="s">
        <v>2254</v>
      </c>
      <c r="C549" t="s">
        <v>2057</v>
      </c>
      <c r="D549" t="s">
        <v>2058</v>
      </c>
      <c r="E549" t="str">
        <f>+CONCATENATE(D549,". FABRICADO EN ",M549,". PUNTERA DE ",N549,". PLANTILLA ",O549,". SUELA DE ",P549)</f>
        <v>BOTA MF S2+CI+FO+SR C/VELC Negro 44. FABRICADO EN MICROFIBRA. PUNTERA DE Fibra de vidrio. PLANTILLA No lleva. SUELA DE PU/PU DOBLE DENSIDAD</v>
      </c>
      <c r="F549" t="str">
        <f>PROPER(E549)</f>
        <v>Bota Mf S2+Ci+Fo+Sr C/Velc Negro 44. Fabricado En Microfibra. Puntera De Fibra De Vidrio. Plantilla No Lleva. Suela De Pu/Pu Doble Densidad</v>
      </c>
      <c r="G549" s="24">
        <v>18.95</v>
      </c>
      <c r="H549" s="24">
        <f>+G549/0.7</f>
        <v>27.071428571428573</v>
      </c>
      <c r="I549" s="24">
        <f>+H549*1.21</f>
        <v>32.756428571428572</v>
      </c>
      <c r="J549" s="24" t="s">
        <v>2326</v>
      </c>
      <c r="K549" s="24" t="s">
        <v>2364</v>
      </c>
      <c r="L549" t="s">
        <v>1392</v>
      </c>
      <c r="M549" t="s">
        <v>1407</v>
      </c>
      <c r="N549" t="s">
        <v>1425</v>
      </c>
      <c r="O549" t="s">
        <v>1427</v>
      </c>
      <c r="P549" t="s">
        <v>1429</v>
      </c>
      <c r="Q549">
        <v>44</v>
      </c>
      <c r="R549" s="3">
        <v>8457780348358</v>
      </c>
      <c r="S549" s="3">
        <v>18457780348355</v>
      </c>
      <c r="T549" t="s">
        <v>2166</v>
      </c>
    </row>
    <row r="550" spans="1:21" x14ac:dyDescent="0.25">
      <c r="A550" t="s">
        <v>2165</v>
      </c>
      <c r="B550" t="s">
        <v>2254</v>
      </c>
      <c r="C550" t="s">
        <v>2059</v>
      </c>
      <c r="D550" t="s">
        <v>2060</v>
      </c>
      <c r="E550" t="str">
        <f>+CONCATENATE(D550,". FABRICADO EN ",M550,". PUNTERA DE ",N550,". PLANTILLA ",O550,". SUELA DE ",P550)</f>
        <v>BOTA MF S2+CI+FO+SR C/VELC Negro 45. FABRICADO EN MICROFIBRA. PUNTERA DE Fibra de vidrio. PLANTILLA No lleva. SUELA DE PU/PU DOBLE DENSIDAD</v>
      </c>
      <c r="F550" t="str">
        <f>PROPER(E550)</f>
        <v>Bota Mf S2+Ci+Fo+Sr C/Velc Negro 45. Fabricado En Microfibra. Puntera De Fibra De Vidrio. Plantilla No Lleva. Suela De Pu/Pu Doble Densidad</v>
      </c>
      <c r="G550" s="24">
        <v>18.95</v>
      </c>
      <c r="H550" s="24">
        <f>+G550/0.7</f>
        <v>27.071428571428573</v>
      </c>
      <c r="I550" s="24">
        <f>+H550*1.21</f>
        <v>32.756428571428572</v>
      </c>
      <c r="J550" s="24" t="s">
        <v>2326</v>
      </c>
      <c r="K550" s="24" t="s">
        <v>2364</v>
      </c>
      <c r="L550" t="s">
        <v>1392</v>
      </c>
      <c r="M550" t="s">
        <v>1407</v>
      </c>
      <c r="N550" t="s">
        <v>1425</v>
      </c>
      <c r="O550" t="s">
        <v>1427</v>
      </c>
      <c r="P550" t="s">
        <v>1429</v>
      </c>
      <c r="Q550">
        <v>45</v>
      </c>
      <c r="R550" s="3">
        <v>8457780348365</v>
      </c>
      <c r="S550" s="3">
        <v>18457780348362</v>
      </c>
      <c r="T550" t="s">
        <v>2166</v>
      </c>
    </row>
    <row r="551" spans="1:21" x14ac:dyDescent="0.25">
      <c r="A551" t="s">
        <v>2165</v>
      </c>
      <c r="B551" t="s">
        <v>2254</v>
      </c>
      <c r="C551" t="s">
        <v>2061</v>
      </c>
      <c r="D551" t="s">
        <v>2062</v>
      </c>
      <c r="E551" t="str">
        <f>+CONCATENATE(D551,". FABRICADO EN ",M551,". PUNTERA DE ",N551,". PLANTILLA ",O551,". SUELA DE ",P551)</f>
        <v>BOTA MF S2+CI+FO+SR C/VELC Negro 46. FABRICADO EN MICROFIBRA. PUNTERA DE Fibra de vidrio. PLANTILLA No lleva. SUELA DE PU/PU DOBLE DENSIDAD</v>
      </c>
      <c r="F551" t="str">
        <f>PROPER(E551)</f>
        <v>Bota Mf S2+Ci+Fo+Sr C/Velc Negro 46. Fabricado En Microfibra. Puntera De Fibra De Vidrio. Plantilla No Lleva. Suela De Pu/Pu Doble Densidad</v>
      </c>
      <c r="G551" s="24">
        <v>18.95</v>
      </c>
      <c r="H551" s="24">
        <f>+G551/0.7</f>
        <v>27.071428571428573</v>
      </c>
      <c r="I551" s="24">
        <f>+H551*1.21</f>
        <v>32.756428571428572</v>
      </c>
      <c r="J551" s="24" t="s">
        <v>2326</v>
      </c>
      <c r="K551" s="24" t="s">
        <v>2364</v>
      </c>
      <c r="L551" t="s">
        <v>1392</v>
      </c>
      <c r="M551" t="s">
        <v>1407</v>
      </c>
      <c r="N551" t="s">
        <v>1425</v>
      </c>
      <c r="O551" t="s">
        <v>1427</v>
      </c>
      <c r="P551" t="s">
        <v>1429</v>
      </c>
      <c r="Q551">
        <v>46</v>
      </c>
      <c r="R551" s="3">
        <v>8457780348372</v>
      </c>
      <c r="S551" s="3">
        <v>18457780348379</v>
      </c>
      <c r="T551" t="s">
        <v>2166</v>
      </c>
    </row>
    <row r="552" spans="1:21" x14ac:dyDescent="0.25">
      <c r="A552" t="s">
        <v>2165</v>
      </c>
      <c r="B552" t="s">
        <v>2254</v>
      </c>
      <c r="C552" t="s">
        <v>2063</v>
      </c>
      <c r="D552" t="s">
        <v>2064</v>
      </c>
      <c r="E552" t="str">
        <f>+CONCATENATE(D552,". FABRICADO EN ",M552,". PUNTERA DE ",N552,". PLANTILLA ",O552,". SUELA DE ",P552)</f>
        <v>BOTA MF S2+CI+FO+SR C/VELC Negro 47. FABRICADO EN MICROFIBRA. PUNTERA DE Fibra de vidrio. PLANTILLA No lleva. SUELA DE PU/PU DOBLE DENSIDAD</v>
      </c>
      <c r="F552" t="str">
        <f>PROPER(E552)</f>
        <v>Bota Mf S2+Ci+Fo+Sr C/Velc Negro 47. Fabricado En Microfibra. Puntera De Fibra De Vidrio. Plantilla No Lleva. Suela De Pu/Pu Doble Densidad</v>
      </c>
      <c r="G552" s="24">
        <v>18.95</v>
      </c>
      <c r="H552" s="24">
        <f>+G552/0.7</f>
        <v>27.071428571428573</v>
      </c>
      <c r="I552" s="24">
        <f>+H552*1.21</f>
        <v>32.756428571428572</v>
      </c>
      <c r="J552" s="24" t="s">
        <v>2326</v>
      </c>
      <c r="K552" s="24" t="s">
        <v>2364</v>
      </c>
      <c r="L552" t="s">
        <v>1392</v>
      </c>
      <c r="M552" t="s">
        <v>1407</v>
      </c>
      <c r="N552" t="s">
        <v>1425</v>
      </c>
      <c r="O552" t="s">
        <v>1427</v>
      </c>
      <c r="P552" t="s">
        <v>1429</v>
      </c>
      <c r="Q552">
        <v>47</v>
      </c>
      <c r="R552" s="3">
        <v>8457780348389</v>
      </c>
      <c r="S552" s="3">
        <v>18457780348386</v>
      </c>
      <c r="T552" t="s">
        <v>2166</v>
      </c>
    </row>
    <row r="553" spans="1:21" x14ac:dyDescent="0.25">
      <c r="A553" t="s">
        <v>2165</v>
      </c>
      <c r="B553" t="s">
        <v>2254</v>
      </c>
      <c r="C553" t="s">
        <v>2065</v>
      </c>
      <c r="D553" t="s">
        <v>2066</v>
      </c>
      <c r="E553" t="str">
        <f>+CONCATENATE(D553,". FABRICADO EN ",M553,". PUNTERA DE ",N553,". PLANTILLA ",O553,". SUELA DE ",P553)</f>
        <v>BOTA MF S2+CI+FO+SR C/VELC Negro 48. FABRICADO EN MICROFIBRA. PUNTERA DE Fibra de vidrio. PLANTILLA No lleva. SUELA DE PU/PU DOBLE DENSIDAD</v>
      </c>
      <c r="F553" t="str">
        <f>PROPER(E553)</f>
        <v>Bota Mf S2+Ci+Fo+Sr C/Velc Negro 48. Fabricado En Microfibra. Puntera De Fibra De Vidrio. Plantilla No Lleva. Suela De Pu/Pu Doble Densidad</v>
      </c>
      <c r="G553" s="24">
        <v>18.95</v>
      </c>
      <c r="H553" s="24">
        <f>+G553/0.7</f>
        <v>27.071428571428573</v>
      </c>
      <c r="I553" s="24">
        <f>+H553*1.21</f>
        <v>32.756428571428572</v>
      </c>
      <c r="J553" s="24" t="s">
        <v>2326</v>
      </c>
      <c r="K553" s="24" t="s">
        <v>2364</v>
      </c>
      <c r="L553" t="s">
        <v>1392</v>
      </c>
      <c r="M553" t="s">
        <v>1407</v>
      </c>
      <c r="N553" t="s">
        <v>1425</v>
      </c>
      <c r="O553" t="s">
        <v>1427</v>
      </c>
      <c r="P553" t="s">
        <v>1429</v>
      </c>
      <c r="Q553">
        <v>48</v>
      </c>
      <c r="R553" s="3">
        <v>8457780348396</v>
      </c>
      <c r="S553" s="3">
        <v>18457780348393</v>
      </c>
      <c r="T553" t="s">
        <v>2166</v>
      </c>
    </row>
    <row r="554" spans="1:21" x14ac:dyDescent="0.25">
      <c r="A554" t="s">
        <v>493</v>
      </c>
      <c r="B554" t="s">
        <v>2255</v>
      </c>
      <c r="C554" t="s">
        <v>494</v>
      </c>
      <c r="D554" t="s">
        <v>1846</v>
      </c>
      <c r="E554" t="str">
        <f>+CONCATENATE(D554,". FABRICADO EN ",M554,". PUNTERA DE ",N554,". PLANTILLA ",O554,". SUELA DE ",P554)</f>
        <v xml:space="preserve">PLANTILLA INTERIOR PFM Negro 35-38. FABRICADO EN . PUNTERA DE . PLANTILLA . SUELA DE </v>
      </c>
      <c r="F554" t="str">
        <f>PROPER(E554)</f>
        <v xml:space="preserve">Plantilla Interior Pfm Negro 35-38. Fabricado En . Puntera De . Plantilla . Suela De </v>
      </c>
      <c r="G554" s="24">
        <v>3.95</v>
      </c>
      <c r="H554" s="24">
        <f>+G554/0.6</f>
        <v>6.5833333333333339</v>
      </c>
      <c r="I554" s="24">
        <f>+H554*1.21</f>
        <v>7.9658333333333342</v>
      </c>
      <c r="J554" s="24" t="s">
        <v>2360</v>
      </c>
      <c r="K554" s="24" t="s">
        <v>2360</v>
      </c>
      <c r="L554" t="s">
        <v>1392</v>
      </c>
      <c r="Q554" s="4" t="s">
        <v>495</v>
      </c>
      <c r="R554" s="2">
        <v>8457780318719</v>
      </c>
      <c r="S554" s="3" t="s">
        <v>1139</v>
      </c>
      <c r="T554" s="1" t="s">
        <v>1390</v>
      </c>
    </row>
    <row r="555" spans="1:21" x14ac:dyDescent="0.25">
      <c r="A555" t="s">
        <v>493</v>
      </c>
      <c r="B555" t="s">
        <v>2255</v>
      </c>
      <c r="C555" t="s">
        <v>496</v>
      </c>
      <c r="D555" t="s">
        <v>1847</v>
      </c>
      <c r="E555" t="str">
        <f>+CONCATENATE(D555,". FABRICADO EN ",M555,". PUNTERA DE ",N555,". PLANTILLA ",O555,". SUELA DE ",P555)</f>
        <v xml:space="preserve">PLANTILLA INTERIOR PFM Negro 39-41. FABRICADO EN . PUNTERA DE . PLANTILLA . SUELA DE </v>
      </c>
      <c r="F555" t="str">
        <f>PROPER(E555)</f>
        <v xml:space="preserve">Plantilla Interior Pfm Negro 39-41. Fabricado En . Puntera De . Plantilla . Suela De </v>
      </c>
      <c r="G555" s="24">
        <v>3.95</v>
      </c>
      <c r="H555" s="24">
        <f>+G555/0.6</f>
        <v>6.5833333333333339</v>
      </c>
      <c r="I555" s="24">
        <f>+H555*1.21</f>
        <v>7.9658333333333342</v>
      </c>
      <c r="J555" s="24" t="s">
        <v>2360</v>
      </c>
      <c r="K555" s="24" t="s">
        <v>2360</v>
      </c>
      <c r="L555" t="s">
        <v>1392</v>
      </c>
      <c r="Q555" s="4" t="s">
        <v>497</v>
      </c>
      <c r="R555" s="2">
        <v>8457780318726</v>
      </c>
      <c r="S555" s="3" t="s">
        <v>1140</v>
      </c>
      <c r="T555" t="s">
        <v>1390</v>
      </c>
    </row>
    <row r="556" spans="1:21" x14ac:dyDescent="0.25">
      <c r="A556" t="s">
        <v>493</v>
      </c>
      <c r="B556" t="s">
        <v>2255</v>
      </c>
      <c r="C556" t="s">
        <v>498</v>
      </c>
      <c r="D556" t="s">
        <v>1848</v>
      </c>
      <c r="E556" t="str">
        <f>+CONCATENATE(D556,". FABRICADO EN ",M556,". PUNTERA DE ",N556,". PLANTILLA ",O556,". SUELA DE ",P556)</f>
        <v xml:space="preserve">PLANTILLA INTERIOR PFM Negro 42-44. FABRICADO EN . PUNTERA DE . PLANTILLA . SUELA DE </v>
      </c>
      <c r="F556" t="str">
        <f>PROPER(E556)</f>
        <v xml:space="preserve">Plantilla Interior Pfm Negro 42-44. Fabricado En . Puntera De . Plantilla . Suela De </v>
      </c>
      <c r="G556" s="24">
        <v>3.95</v>
      </c>
      <c r="H556" s="24">
        <f>+G556/0.6</f>
        <v>6.5833333333333339</v>
      </c>
      <c r="I556" s="24">
        <f>+H556*1.21</f>
        <v>7.9658333333333342</v>
      </c>
      <c r="J556" s="24" t="s">
        <v>2360</v>
      </c>
      <c r="K556" s="24" t="s">
        <v>2360</v>
      </c>
      <c r="L556" t="s">
        <v>1392</v>
      </c>
      <c r="Q556" s="4" t="s">
        <v>499</v>
      </c>
      <c r="R556" s="2">
        <v>8457780318733</v>
      </c>
      <c r="S556" s="3" t="s">
        <v>1141</v>
      </c>
      <c r="T556" t="s">
        <v>1390</v>
      </c>
    </row>
    <row r="557" spans="1:21" x14ac:dyDescent="0.25">
      <c r="A557" t="s">
        <v>493</v>
      </c>
      <c r="B557" t="s">
        <v>2255</v>
      </c>
      <c r="C557" t="s">
        <v>500</v>
      </c>
      <c r="D557" t="s">
        <v>1849</v>
      </c>
      <c r="E557" t="str">
        <f>+CONCATENATE(D557,". FABRICADO EN ",M557,". PUNTERA DE ",N557,". PLANTILLA ",O557,". SUELA DE ",P557)</f>
        <v xml:space="preserve">PLANTILLA INTERIOR PFM Negro 45-48. FABRICADO EN . PUNTERA DE . PLANTILLA . SUELA DE </v>
      </c>
      <c r="F557" t="str">
        <f>PROPER(E557)</f>
        <v xml:space="preserve">Plantilla Interior Pfm Negro 45-48. Fabricado En . Puntera De . Plantilla . Suela De </v>
      </c>
      <c r="G557" s="24">
        <v>3.95</v>
      </c>
      <c r="H557" s="24">
        <f>+G557/0.6</f>
        <v>6.5833333333333339</v>
      </c>
      <c r="I557" s="24">
        <f>+H557*1.21</f>
        <v>7.9658333333333342</v>
      </c>
      <c r="J557" s="24" t="s">
        <v>2360</v>
      </c>
      <c r="K557" s="24" t="s">
        <v>2360</v>
      </c>
      <c r="L557" t="s">
        <v>1392</v>
      </c>
      <c r="Q557" s="4" t="s">
        <v>501</v>
      </c>
      <c r="R557" s="2">
        <v>8457780318740</v>
      </c>
      <c r="S557" s="3" t="s">
        <v>1142</v>
      </c>
      <c r="T557" t="s">
        <v>1390</v>
      </c>
    </row>
    <row r="558" spans="1:21" x14ac:dyDescent="0.25">
      <c r="A558" t="s">
        <v>502</v>
      </c>
      <c r="B558" t="s">
        <v>2256</v>
      </c>
      <c r="C558" t="s">
        <v>503</v>
      </c>
      <c r="D558" t="s">
        <v>1850</v>
      </c>
      <c r="E558" t="str">
        <f>+CONCATENATE(D558,". FABRICADO EN ",M558,". PUNTERA DE ",N558,". PLANTILLA ",O558,". SUELA DE ",P558)</f>
        <v>ZAPATO PIEL S3S+CI+HI+FO+SR METAL FREE Negro 35. FABRICADO EN PIEL GRABADA. PUNTERA DE Fibra de vidrio. PLANTILLA Antiperforación textil. SUELA DE PU/PU DOBLE DENSIDAD</v>
      </c>
      <c r="F558" t="str">
        <f>PROPER(E558)</f>
        <v>Zapato Piel S3S+Ci+Hi+Fo+Sr Metal Free Negro 35. Fabricado En Piel Grabada. Puntera De Fibra De Vidrio. Plantilla Antiperforación Textil. Suela De Pu/Pu Doble Densidad</v>
      </c>
      <c r="G558" s="24">
        <f>VLOOKUP(B558,Tabla1[],2,0)</f>
        <v>14.2</v>
      </c>
      <c r="H558" s="24">
        <f>+G558/0.7</f>
        <v>20.285714285714285</v>
      </c>
      <c r="I558" s="24">
        <f>+H558*1.21</f>
        <v>24.545714285714283</v>
      </c>
      <c r="J558" s="24" t="s">
        <v>2359</v>
      </c>
      <c r="K558" s="24" t="s">
        <v>2365</v>
      </c>
      <c r="L558" t="s">
        <v>1392</v>
      </c>
      <c r="M558" t="s">
        <v>1415</v>
      </c>
      <c r="N558" t="s">
        <v>1425</v>
      </c>
      <c r="O558" t="s">
        <v>1428</v>
      </c>
      <c r="P558" t="s">
        <v>1429</v>
      </c>
      <c r="Q558">
        <v>35</v>
      </c>
      <c r="R558" s="2">
        <v>8457780303968</v>
      </c>
      <c r="S558" s="3" t="s">
        <v>1143</v>
      </c>
      <c r="T558" t="s">
        <v>1359</v>
      </c>
      <c r="U558" t="s">
        <v>1360</v>
      </c>
    </row>
    <row r="559" spans="1:21" x14ac:dyDescent="0.25">
      <c r="A559" t="s">
        <v>502</v>
      </c>
      <c r="B559" t="s">
        <v>2256</v>
      </c>
      <c r="C559" t="s">
        <v>504</v>
      </c>
      <c r="D559" t="s">
        <v>1851</v>
      </c>
      <c r="E559" t="str">
        <f>+CONCATENATE(D559,". FABRICADO EN ",M559,". PUNTERA DE ",N559,". PLANTILLA ",O559,". SUELA DE ",P559)</f>
        <v>ZAPATO PIEL S3S+CI+HI+FO+SR METAL FREE Negro 36. FABRICADO EN PIEL GRABADA. PUNTERA DE Fibra de vidrio. PLANTILLA Antiperforación textil. SUELA DE PU/PU DOBLE DENSIDAD</v>
      </c>
      <c r="F559" t="str">
        <f>PROPER(E559)</f>
        <v>Zapato Piel S3S+Ci+Hi+Fo+Sr Metal Free Negro 36. Fabricado En Piel Grabada. Puntera De Fibra De Vidrio. Plantilla Antiperforación Textil. Suela De Pu/Pu Doble Densidad</v>
      </c>
      <c r="G559" s="24">
        <f>VLOOKUP(B559,Tabla1[],2,0)</f>
        <v>14.2</v>
      </c>
      <c r="H559" s="24">
        <f>+G559/0.7</f>
        <v>20.285714285714285</v>
      </c>
      <c r="I559" s="24">
        <f>+H559*1.21</f>
        <v>24.545714285714283</v>
      </c>
      <c r="J559" s="24" t="s">
        <v>2359</v>
      </c>
      <c r="K559" s="24" t="s">
        <v>2365</v>
      </c>
      <c r="L559" t="s">
        <v>1392</v>
      </c>
      <c r="M559" t="s">
        <v>1415</v>
      </c>
      <c r="N559" t="s">
        <v>1425</v>
      </c>
      <c r="O559" t="s">
        <v>1428</v>
      </c>
      <c r="P559" t="s">
        <v>1429</v>
      </c>
      <c r="Q559">
        <v>36</v>
      </c>
      <c r="R559" s="2">
        <v>8457780268243</v>
      </c>
      <c r="S559" s="3" t="s">
        <v>1144</v>
      </c>
      <c r="T559" t="s">
        <v>1359</v>
      </c>
      <c r="U559" t="s">
        <v>1360</v>
      </c>
    </row>
    <row r="560" spans="1:21" x14ac:dyDescent="0.25">
      <c r="A560" t="s">
        <v>502</v>
      </c>
      <c r="B560" t="s">
        <v>2256</v>
      </c>
      <c r="C560" t="s">
        <v>505</v>
      </c>
      <c r="D560" t="s">
        <v>1852</v>
      </c>
      <c r="E560" t="str">
        <f>+CONCATENATE(D560,". FABRICADO EN ",M560,". PUNTERA DE ",N560,". PLANTILLA ",O560,". SUELA DE ",P560)</f>
        <v>ZAPATO PIEL S3S+CI+HI+FO+SR METAL FREE Negro 37. FABRICADO EN PIEL GRABADA. PUNTERA DE Fibra de vidrio. PLANTILLA Antiperforación textil. SUELA DE PU/PU DOBLE DENSIDAD</v>
      </c>
      <c r="F560" t="str">
        <f>PROPER(E560)</f>
        <v>Zapato Piel S3S+Ci+Hi+Fo+Sr Metal Free Negro 37. Fabricado En Piel Grabada. Puntera De Fibra De Vidrio. Plantilla Antiperforación Textil. Suela De Pu/Pu Doble Densidad</v>
      </c>
      <c r="G560" s="24">
        <f>VLOOKUP(B560,Tabla1[],2,0)</f>
        <v>14.2</v>
      </c>
      <c r="H560" s="24">
        <f>+G560/0.7</f>
        <v>20.285714285714285</v>
      </c>
      <c r="I560" s="24">
        <f>+H560*1.21</f>
        <v>24.545714285714283</v>
      </c>
      <c r="J560" s="24" t="s">
        <v>2359</v>
      </c>
      <c r="K560" s="24" t="s">
        <v>2365</v>
      </c>
      <c r="L560" t="s">
        <v>1392</v>
      </c>
      <c r="M560" t="s">
        <v>1415</v>
      </c>
      <c r="N560" t="s">
        <v>1425</v>
      </c>
      <c r="O560" t="s">
        <v>1428</v>
      </c>
      <c r="P560" t="s">
        <v>1429</v>
      </c>
      <c r="Q560">
        <v>37</v>
      </c>
      <c r="R560" s="2">
        <v>8457780268250</v>
      </c>
      <c r="S560" s="3" t="s">
        <v>1145</v>
      </c>
      <c r="T560" t="s">
        <v>1359</v>
      </c>
      <c r="U560" t="s">
        <v>1360</v>
      </c>
    </row>
    <row r="561" spans="1:21" x14ac:dyDescent="0.25">
      <c r="A561" t="s">
        <v>502</v>
      </c>
      <c r="B561" t="s">
        <v>2256</v>
      </c>
      <c r="C561" t="s">
        <v>506</v>
      </c>
      <c r="D561" t="s">
        <v>1853</v>
      </c>
      <c r="E561" t="str">
        <f>+CONCATENATE(D561,". FABRICADO EN ",M561,". PUNTERA DE ",N561,". PLANTILLA ",O561,". SUELA DE ",P561)</f>
        <v>ZAPATO PIEL S3S+CI+HI+FO+SR METAL FREE Negro 38. FABRICADO EN PIEL GRABADA. PUNTERA DE Fibra de vidrio. PLANTILLA Antiperforación textil. SUELA DE PU/PU DOBLE DENSIDAD</v>
      </c>
      <c r="F561" t="str">
        <f>PROPER(E561)</f>
        <v>Zapato Piel S3S+Ci+Hi+Fo+Sr Metal Free Negro 38. Fabricado En Piel Grabada. Puntera De Fibra De Vidrio. Plantilla Antiperforación Textil. Suela De Pu/Pu Doble Densidad</v>
      </c>
      <c r="G561" s="24">
        <f>VLOOKUP(B561,Tabla1[],2,0)</f>
        <v>14.2</v>
      </c>
      <c r="H561" s="24">
        <f>+G561/0.7</f>
        <v>20.285714285714285</v>
      </c>
      <c r="I561" s="24">
        <f>+H561*1.21</f>
        <v>24.545714285714283</v>
      </c>
      <c r="J561" s="24" t="s">
        <v>2359</v>
      </c>
      <c r="K561" s="24" t="s">
        <v>2365</v>
      </c>
      <c r="L561" t="s">
        <v>1392</v>
      </c>
      <c r="M561" t="s">
        <v>1415</v>
      </c>
      <c r="N561" t="s">
        <v>1425</v>
      </c>
      <c r="O561" t="s">
        <v>1428</v>
      </c>
      <c r="P561" t="s">
        <v>1429</v>
      </c>
      <c r="Q561">
        <v>38</v>
      </c>
      <c r="R561" s="2">
        <v>8457780268267</v>
      </c>
      <c r="S561" s="3" t="s">
        <v>1146</v>
      </c>
      <c r="T561" t="s">
        <v>1359</v>
      </c>
      <c r="U561" t="s">
        <v>1360</v>
      </c>
    </row>
    <row r="562" spans="1:21" x14ac:dyDescent="0.25">
      <c r="A562" t="s">
        <v>502</v>
      </c>
      <c r="B562" t="s">
        <v>2256</v>
      </c>
      <c r="C562" t="s">
        <v>507</v>
      </c>
      <c r="D562" t="s">
        <v>1854</v>
      </c>
      <c r="E562" t="str">
        <f>+CONCATENATE(D562,". FABRICADO EN ",M562,". PUNTERA DE ",N562,". PLANTILLA ",O562,". SUELA DE ",P562)</f>
        <v>ZAPATO PIEL S3S+CI+HI+FO+SR METAL FREE Negro 39. FABRICADO EN PIEL GRABADA. PUNTERA DE Fibra de vidrio. PLANTILLA Antiperforación textil. SUELA DE PU/PU DOBLE DENSIDAD</v>
      </c>
      <c r="F562" t="str">
        <f>PROPER(E562)</f>
        <v>Zapato Piel S3S+Ci+Hi+Fo+Sr Metal Free Negro 39. Fabricado En Piel Grabada. Puntera De Fibra De Vidrio. Plantilla Antiperforación Textil. Suela De Pu/Pu Doble Densidad</v>
      </c>
      <c r="G562" s="24">
        <f>VLOOKUP(B562,Tabla1[],2,0)</f>
        <v>14.2</v>
      </c>
      <c r="H562" s="24">
        <f>+G562/0.7</f>
        <v>20.285714285714285</v>
      </c>
      <c r="I562" s="24">
        <f>+H562*1.21</f>
        <v>24.545714285714283</v>
      </c>
      <c r="J562" s="24" t="s">
        <v>2359</v>
      </c>
      <c r="K562" s="24" t="s">
        <v>2365</v>
      </c>
      <c r="L562" t="s">
        <v>1392</v>
      </c>
      <c r="M562" t="s">
        <v>1415</v>
      </c>
      <c r="N562" t="s">
        <v>1425</v>
      </c>
      <c r="O562" t="s">
        <v>1428</v>
      </c>
      <c r="P562" t="s">
        <v>1429</v>
      </c>
      <c r="Q562">
        <v>39</v>
      </c>
      <c r="R562" s="2">
        <v>8457780268274</v>
      </c>
      <c r="S562" s="3" t="s">
        <v>1147</v>
      </c>
      <c r="T562" t="s">
        <v>1359</v>
      </c>
      <c r="U562" t="s">
        <v>1360</v>
      </c>
    </row>
    <row r="563" spans="1:21" x14ac:dyDescent="0.25">
      <c r="A563" t="s">
        <v>502</v>
      </c>
      <c r="B563" t="s">
        <v>2256</v>
      </c>
      <c r="C563" t="s">
        <v>508</v>
      </c>
      <c r="D563" t="s">
        <v>1855</v>
      </c>
      <c r="E563" t="str">
        <f>+CONCATENATE(D563,". FABRICADO EN ",M563,". PUNTERA DE ",N563,". PLANTILLA ",O563,". SUELA DE ",P563)</f>
        <v>ZAPATO PIEL S3S+CI+HI+FO+SR METAL FREE Negro 40. FABRICADO EN PIEL GRABADA. PUNTERA DE Fibra de vidrio. PLANTILLA Antiperforación textil. SUELA DE PU/PU DOBLE DENSIDAD</v>
      </c>
      <c r="F563" t="str">
        <f>PROPER(E563)</f>
        <v>Zapato Piel S3S+Ci+Hi+Fo+Sr Metal Free Negro 40. Fabricado En Piel Grabada. Puntera De Fibra De Vidrio. Plantilla Antiperforación Textil. Suela De Pu/Pu Doble Densidad</v>
      </c>
      <c r="G563" s="24">
        <f>VLOOKUP(B563,Tabla1[],2,0)</f>
        <v>14.2</v>
      </c>
      <c r="H563" s="24">
        <f>+G563/0.7</f>
        <v>20.285714285714285</v>
      </c>
      <c r="I563" s="24">
        <f>+H563*1.21</f>
        <v>24.545714285714283</v>
      </c>
      <c r="J563" s="24" t="s">
        <v>2359</v>
      </c>
      <c r="K563" s="24" t="s">
        <v>2365</v>
      </c>
      <c r="L563" t="s">
        <v>1392</v>
      </c>
      <c r="M563" t="s">
        <v>1415</v>
      </c>
      <c r="N563" t="s">
        <v>1425</v>
      </c>
      <c r="O563" t="s">
        <v>1428</v>
      </c>
      <c r="P563" t="s">
        <v>1429</v>
      </c>
      <c r="Q563">
        <v>40</v>
      </c>
      <c r="R563" s="2">
        <v>8457780268281</v>
      </c>
      <c r="S563" s="3" t="s">
        <v>1148</v>
      </c>
      <c r="T563" t="s">
        <v>1359</v>
      </c>
      <c r="U563" t="s">
        <v>1360</v>
      </c>
    </row>
    <row r="564" spans="1:21" x14ac:dyDescent="0.25">
      <c r="A564" t="s">
        <v>502</v>
      </c>
      <c r="B564" t="s">
        <v>2256</v>
      </c>
      <c r="C564" t="s">
        <v>509</v>
      </c>
      <c r="D564" t="s">
        <v>1856</v>
      </c>
      <c r="E564" t="str">
        <f>+CONCATENATE(D564,". FABRICADO EN ",M564,". PUNTERA DE ",N564,". PLANTILLA ",O564,". SUELA DE ",P564)</f>
        <v>ZAPATO PIEL S3S+CI+HI+FO+SR METAL FREE Negro 41. FABRICADO EN PIEL GRABADA. PUNTERA DE Fibra de vidrio. PLANTILLA Antiperforación textil. SUELA DE PU/PU DOBLE DENSIDAD</v>
      </c>
      <c r="F564" t="str">
        <f>PROPER(E564)</f>
        <v>Zapato Piel S3S+Ci+Hi+Fo+Sr Metal Free Negro 41. Fabricado En Piel Grabada. Puntera De Fibra De Vidrio. Plantilla Antiperforación Textil. Suela De Pu/Pu Doble Densidad</v>
      </c>
      <c r="G564" s="24">
        <f>VLOOKUP(B564,Tabla1[],2,0)</f>
        <v>14.2</v>
      </c>
      <c r="H564" s="24">
        <f>+G564/0.7</f>
        <v>20.285714285714285</v>
      </c>
      <c r="I564" s="24">
        <f>+H564*1.21</f>
        <v>24.545714285714283</v>
      </c>
      <c r="J564" s="24" t="s">
        <v>2359</v>
      </c>
      <c r="K564" s="24" t="s">
        <v>2365</v>
      </c>
      <c r="L564" t="s">
        <v>1392</v>
      </c>
      <c r="M564" t="s">
        <v>1415</v>
      </c>
      <c r="N564" t="s">
        <v>1425</v>
      </c>
      <c r="O564" t="s">
        <v>1428</v>
      </c>
      <c r="P564" t="s">
        <v>1429</v>
      </c>
      <c r="Q564">
        <v>41</v>
      </c>
      <c r="R564" s="2">
        <v>8457780268298</v>
      </c>
      <c r="S564" s="3" t="s">
        <v>1149</v>
      </c>
      <c r="T564" t="s">
        <v>1359</v>
      </c>
      <c r="U564" t="s">
        <v>1360</v>
      </c>
    </row>
    <row r="565" spans="1:21" x14ac:dyDescent="0.25">
      <c r="A565" t="s">
        <v>502</v>
      </c>
      <c r="B565" t="s">
        <v>2256</v>
      </c>
      <c r="C565" t="s">
        <v>510</v>
      </c>
      <c r="D565" t="s">
        <v>1857</v>
      </c>
      <c r="E565" t="str">
        <f>+CONCATENATE(D565,". FABRICADO EN ",M565,". PUNTERA DE ",N565,". PLANTILLA ",O565,". SUELA DE ",P565)</f>
        <v>ZAPATO PIEL S3S+CI+HI+FO+SR METAL FREE Negro 42. FABRICADO EN PIEL GRABADA. PUNTERA DE Fibra de vidrio. PLANTILLA Antiperforación textil. SUELA DE PU/PU DOBLE DENSIDAD</v>
      </c>
      <c r="F565" t="str">
        <f>PROPER(E565)</f>
        <v>Zapato Piel S3S+Ci+Hi+Fo+Sr Metal Free Negro 42. Fabricado En Piel Grabada. Puntera De Fibra De Vidrio. Plantilla Antiperforación Textil. Suela De Pu/Pu Doble Densidad</v>
      </c>
      <c r="G565" s="24">
        <f>VLOOKUP(B565,Tabla1[],2,0)</f>
        <v>14.2</v>
      </c>
      <c r="H565" s="24">
        <f>+G565/0.7</f>
        <v>20.285714285714285</v>
      </c>
      <c r="I565" s="24">
        <f>+H565*1.21</f>
        <v>24.545714285714283</v>
      </c>
      <c r="J565" s="24" t="s">
        <v>2359</v>
      </c>
      <c r="K565" s="24" t="s">
        <v>2365</v>
      </c>
      <c r="L565" t="s">
        <v>1392</v>
      </c>
      <c r="M565" t="s">
        <v>1415</v>
      </c>
      <c r="N565" t="s">
        <v>1425</v>
      </c>
      <c r="O565" t="s">
        <v>1428</v>
      </c>
      <c r="P565" t="s">
        <v>1429</v>
      </c>
      <c r="Q565">
        <v>42</v>
      </c>
      <c r="R565" s="2">
        <v>8457780268304</v>
      </c>
      <c r="S565" s="3" t="s">
        <v>1150</v>
      </c>
      <c r="T565" t="s">
        <v>1359</v>
      </c>
      <c r="U565" t="s">
        <v>1360</v>
      </c>
    </row>
    <row r="566" spans="1:21" x14ac:dyDescent="0.25">
      <c r="A566" t="s">
        <v>502</v>
      </c>
      <c r="B566" t="s">
        <v>2256</v>
      </c>
      <c r="C566" t="s">
        <v>511</v>
      </c>
      <c r="D566" t="s">
        <v>1858</v>
      </c>
      <c r="E566" t="str">
        <f>+CONCATENATE(D566,". FABRICADO EN ",M566,". PUNTERA DE ",N566,". PLANTILLA ",O566,". SUELA DE ",P566)</f>
        <v>ZAPATO PIEL S3S+CI+HI+FO+SR METAL FREE Negro 43. FABRICADO EN PIEL GRABADA. PUNTERA DE Fibra de vidrio. PLANTILLA Antiperforación textil. SUELA DE PU/PU DOBLE DENSIDAD</v>
      </c>
      <c r="F566" t="str">
        <f>PROPER(E566)</f>
        <v>Zapato Piel S3S+Ci+Hi+Fo+Sr Metal Free Negro 43. Fabricado En Piel Grabada. Puntera De Fibra De Vidrio. Plantilla Antiperforación Textil. Suela De Pu/Pu Doble Densidad</v>
      </c>
      <c r="G566" s="24">
        <f>VLOOKUP(B566,Tabla1[],2,0)</f>
        <v>14.2</v>
      </c>
      <c r="H566" s="24">
        <f>+G566/0.7</f>
        <v>20.285714285714285</v>
      </c>
      <c r="I566" s="24">
        <f>+H566*1.21</f>
        <v>24.545714285714283</v>
      </c>
      <c r="J566" s="24" t="s">
        <v>2359</v>
      </c>
      <c r="K566" s="24" t="s">
        <v>2365</v>
      </c>
      <c r="L566" t="s">
        <v>1392</v>
      </c>
      <c r="M566" t="s">
        <v>1415</v>
      </c>
      <c r="N566" t="s">
        <v>1425</v>
      </c>
      <c r="O566" t="s">
        <v>1428</v>
      </c>
      <c r="P566" t="s">
        <v>1429</v>
      </c>
      <c r="Q566">
        <v>43</v>
      </c>
      <c r="R566" s="2">
        <v>8457780268311</v>
      </c>
      <c r="S566" s="3" t="s">
        <v>1151</v>
      </c>
      <c r="T566" t="s">
        <v>1359</v>
      </c>
      <c r="U566" t="s">
        <v>1360</v>
      </c>
    </row>
    <row r="567" spans="1:21" x14ac:dyDescent="0.25">
      <c r="A567" t="s">
        <v>502</v>
      </c>
      <c r="B567" t="s">
        <v>2256</v>
      </c>
      <c r="C567" t="s">
        <v>512</v>
      </c>
      <c r="D567" t="s">
        <v>1859</v>
      </c>
      <c r="E567" t="str">
        <f>+CONCATENATE(D567,". FABRICADO EN ",M567,". PUNTERA DE ",N567,". PLANTILLA ",O567,". SUELA DE ",P567)</f>
        <v>ZAPATO PIEL S3S+CI+HI+FO+SR METAL FREE Negro 44. FABRICADO EN PIEL GRABADA. PUNTERA DE Fibra de vidrio. PLANTILLA Antiperforación textil. SUELA DE PU/PU DOBLE DENSIDAD</v>
      </c>
      <c r="F567" t="str">
        <f>PROPER(E567)</f>
        <v>Zapato Piel S3S+Ci+Hi+Fo+Sr Metal Free Negro 44. Fabricado En Piel Grabada. Puntera De Fibra De Vidrio. Plantilla Antiperforación Textil. Suela De Pu/Pu Doble Densidad</v>
      </c>
      <c r="G567" s="24">
        <f>VLOOKUP(B567,Tabla1[],2,0)</f>
        <v>14.2</v>
      </c>
      <c r="H567" s="24">
        <f>+G567/0.7</f>
        <v>20.285714285714285</v>
      </c>
      <c r="I567" s="24">
        <f>+H567*1.21</f>
        <v>24.545714285714283</v>
      </c>
      <c r="J567" s="24" t="s">
        <v>2359</v>
      </c>
      <c r="K567" s="24" t="s">
        <v>2365</v>
      </c>
      <c r="L567" t="s">
        <v>1392</v>
      </c>
      <c r="M567" t="s">
        <v>1415</v>
      </c>
      <c r="N567" t="s">
        <v>1425</v>
      </c>
      <c r="O567" t="s">
        <v>1428</v>
      </c>
      <c r="P567" t="s">
        <v>1429</v>
      </c>
      <c r="Q567">
        <v>44</v>
      </c>
      <c r="R567" s="2">
        <v>8457780268328</v>
      </c>
      <c r="S567" s="3" t="s">
        <v>1152</v>
      </c>
      <c r="T567" t="s">
        <v>1359</v>
      </c>
      <c r="U567" t="s">
        <v>1360</v>
      </c>
    </row>
    <row r="568" spans="1:21" x14ac:dyDescent="0.25">
      <c r="A568" t="s">
        <v>502</v>
      </c>
      <c r="B568" t="s">
        <v>2256</v>
      </c>
      <c r="C568" t="s">
        <v>513</v>
      </c>
      <c r="D568" t="s">
        <v>1860</v>
      </c>
      <c r="E568" t="str">
        <f>+CONCATENATE(D568,". FABRICADO EN ",M568,". PUNTERA DE ",N568,". PLANTILLA ",O568,". SUELA DE ",P568)</f>
        <v>ZAPATO PIEL S3S+CI+HI+FO+SR METAL FREE Negro 45. FABRICADO EN PIEL GRABADA. PUNTERA DE Fibra de vidrio. PLANTILLA Antiperforación textil. SUELA DE PU/PU DOBLE DENSIDAD</v>
      </c>
      <c r="F568" t="str">
        <f>PROPER(E568)</f>
        <v>Zapato Piel S3S+Ci+Hi+Fo+Sr Metal Free Negro 45. Fabricado En Piel Grabada. Puntera De Fibra De Vidrio. Plantilla Antiperforación Textil. Suela De Pu/Pu Doble Densidad</v>
      </c>
      <c r="G568" s="24">
        <f>VLOOKUP(B568,Tabla1[],2,0)</f>
        <v>14.2</v>
      </c>
      <c r="H568" s="24">
        <f>+G568/0.7</f>
        <v>20.285714285714285</v>
      </c>
      <c r="I568" s="24">
        <f>+H568*1.21</f>
        <v>24.545714285714283</v>
      </c>
      <c r="J568" s="24" t="s">
        <v>2359</v>
      </c>
      <c r="K568" s="24" t="s">
        <v>2365</v>
      </c>
      <c r="L568" t="s">
        <v>1392</v>
      </c>
      <c r="M568" t="s">
        <v>1415</v>
      </c>
      <c r="N568" t="s">
        <v>1425</v>
      </c>
      <c r="O568" t="s">
        <v>1428</v>
      </c>
      <c r="P568" t="s">
        <v>1429</v>
      </c>
      <c r="Q568">
        <v>45</v>
      </c>
      <c r="R568" s="2">
        <v>8457780268335</v>
      </c>
      <c r="S568" s="3" t="s">
        <v>1153</v>
      </c>
      <c r="T568" t="s">
        <v>1359</v>
      </c>
      <c r="U568" t="s">
        <v>1360</v>
      </c>
    </row>
    <row r="569" spans="1:21" x14ac:dyDescent="0.25">
      <c r="A569" t="s">
        <v>502</v>
      </c>
      <c r="B569" t="s">
        <v>2256</v>
      </c>
      <c r="C569" t="s">
        <v>514</v>
      </c>
      <c r="D569" t="s">
        <v>1861</v>
      </c>
      <c r="E569" t="str">
        <f>+CONCATENATE(D569,". FABRICADO EN ",M569,". PUNTERA DE ",N569,". PLANTILLA ",O569,". SUELA DE ",P569)</f>
        <v>ZAPATO PIEL S3S+CI+HI+FO+SR METAL FREE Negro 46. FABRICADO EN PIEL GRABADA. PUNTERA DE Fibra de vidrio. PLANTILLA Antiperforación textil. SUELA DE PU/PU DOBLE DENSIDAD</v>
      </c>
      <c r="F569" t="str">
        <f>PROPER(E569)</f>
        <v>Zapato Piel S3S+Ci+Hi+Fo+Sr Metal Free Negro 46. Fabricado En Piel Grabada. Puntera De Fibra De Vidrio. Plantilla Antiperforación Textil. Suela De Pu/Pu Doble Densidad</v>
      </c>
      <c r="G569" s="24">
        <f>VLOOKUP(B569,Tabla1[],2,0)</f>
        <v>14.2</v>
      </c>
      <c r="H569" s="24">
        <f>+G569/0.7</f>
        <v>20.285714285714285</v>
      </c>
      <c r="I569" s="24">
        <f>+H569*1.21</f>
        <v>24.545714285714283</v>
      </c>
      <c r="J569" s="24" t="s">
        <v>2359</v>
      </c>
      <c r="K569" s="24" t="s">
        <v>2365</v>
      </c>
      <c r="L569" t="s">
        <v>1392</v>
      </c>
      <c r="M569" t="s">
        <v>1415</v>
      </c>
      <c r="N569" t="s">
        <v>1425</v>
      </c>
      <c r="O569" t="s">
        <v>1428</v>
      </c>
      <c r="P569" t="s">
        <v>1429</v>
      </c>
      <c r="Q569">
        <v>46</v>
      </c>
      <c r="R569" s="2">
        <v>8457780268342</v>
      </c>
      <c r="S569" s="3" t="s">
        <v>1154</v>
      </c>
      <c r="T569" t="s">
        <v>1359</v>
      </c>
      <c r="U569" t="s">
        <v>1360</v>
      </c>
    </row>
    <row r="570" spans="1:21" x14ac:dyDescent="0.25">
      <c r="A570" t="s">
        <v>502</v>
      </c>
      <c r="B570" t="s">
        <v>2256</v>
      </c>
      <c r="C570" t="s">
        <v>515</v>
      </c>
      <c r="D570" t="s">
        <v>1862</v>
      </c>
      <c r="E570" t="str">
        <f>+CONCATENATE(D570,". FABRICADO EN ",M570,". PUNTERA DE ",N570,". PLANTILLA ",O570,". SUELA DE ",P570)</f>
        <v>ZAPATO PIEL S3S+CI+HI+FO+SR METAL FREE Negro 47. FABRICADO EN PIEL GRABADA. PUNTERA DE Fibra de vidrio. PLANTILLA Antiperforación textil. SUELA DE PU/PU DOBLE DENSIDAD</v>
      </c>
      <c r="F570" t="str">
        <f>PROPER(E570)</f>
        <v>Zapato Piel S3S+Ci+Hi+Fo+Sr Metal Free Negro 47. Fabricado En Piel Grabada. Puntera De Fibra De Vidrio. Plantilla Antiperforación Textil. Suela De Pu/Pu Doble Densidad</v>
      </c>
      <c r="G570" s="24">
        <f>VLOOKUP(B570,Tabla1[],2,0)</f>
        <v>14.2</v>
      </c>
      <c r="H570" s="24">
        <f>+G570/0.7</f>
        <v>20.285714285714285</v>
      </c>
      <c r="I570" s="24">
        <f>+H570*1.21</f>
        <v>24.545714285714283</v>
      </c>
      <c r="J570" s="24" t="s">
        <v>2359</v>
      </c>
      <c r="K570" s="24" t="s">
        <v>2365</v>
      </c>
      <c r="L570" t="s">
        <v>1392</v>
      </c>
      <c r="M570" t="s">
        <v>1415</v>
      </c>
      <c r="N570" t="s">
        <v>1425</v>
      </c>
      <c r="O570" t="s">
        <v>1428</v>
      </c>
      <c r="P570" t="s">
        <v>1429</v>
      </c>
      <c r="Q570">
        <v>47</v>
      </c>
      <c r="R570" s="2">
        <v>8457780268359</v>
      </c>
      <c r="S570" s="3" t="s">
        <v>1155</v>
      </c>
      <c r="T570" t="s">
        <v>1359</v>
      </c>
      <c r="U570" t="s">
        <v>1360</v>
      </c>
    </row>
    <row r="571" spans="1:21" x14ac:dyDescent="0.25">
      <c r="A571" t="s">
        <v>502</v>
      </c>
      <c r="B571" t="s">
        <v>2256</v>
      </c>
      <c r="C571" t="s">
        <v>516</v>
      </c>
      <c r="D571" t="s">
        <v>1863</v>
      </c>
      <c r="E571" t="str">
        <f>+CONCATENATE(D571,". FABRICADO EN ",M571,". PUNTERA DE ",N571,". PLANTILLA ",O571,". SUELA DE ",P571)</f>
        <v>ZAPATO PIEL S3S+CI+HI+FO+SR METAL FREE Negro 48. FABRICADO EN PIEL GRABADA. PUNTERA DE Fibra de vidrio. PLANTILLA Antiperforación textil. SUELA DE PU/PU DOBLE DENSIDAD</v>
      </c>
      <c r="F571" t="str">
        <f>PROPER(E571)</f>
        <v>Zapato Piel S3S+Ci+Hi+Fo+Sr Metal Free Negro 48. Fabricado En Piel Grabada. Puntera De Fibra De Vidrio. Plantilla Antiperforación Textil. Suela De Pu/Pu Doble Densidad</v>
      </c>
      <c r="G571" s="24">
        <f>VLOOKUP(B571,Tabla1[],2,0)</f>
        <v>14.2</v>
      </c>
      <c r="H571" s="24">
        <f>+G571/0.7</f>
        <v>20.285714285714285</v>
      </c>
      <c r="I571" s="24">
        <f>+H571*1.21</f>
        <v>24.545714285714283</v>
      </c>
      <c r="J571" s="24" t="s">
        <v>2359</v>
      </c>
      <c r="K571" s="24" t="s">
        <v>2365</v>
      </c>
      <c r="L571" t="s">
        <v>1392</v>
      </c>
      <c r="M571" t="s">
        <v>1415</v>
      </c>
      <c r="N571" t="s">
        <v>1425</v>
      </c>
      <c r="O571" t="s">
        <v>1428</v>
      </c>
      <c r="P571" t="s">
        <v>1429</v>
      </c>
      <c r="Q571">
        <v>48</v>
      </c>
      <c r="R571" s="2">
        <v>8457780303975</v>
      </c>
      <c r="S571" s="3" t="s">
        <v>1156</v>
      </c>
      <c r="T571" t="s">
        <v>1359</v>
      </c>
      <c r="U571" t="s">
        <v>1360</v>
      </c>
    </row>
    <row r="572" spans="1:21" x14ac:dyDescent="0.25">
      <c r="A572" t="s">
        <v>517</v>
      </c>
      <c r="B572" t="s">
        <v>2257</v>
      </c>
      <c r="C572" t="s">
        <v>518</v>
      </c>
      <c r="D572" t="s">
        <v>1864</v>
      </c>
      <c r="E572" t="str">
        <f>+CONCATENATE(D572,". FABRICADO EN ",M572,". PUNTERA DE ",N572,". PLANTILLA ",O572,". SUELA DE ",P572)</f>
        <v>ZAPATO MF OB+SRC Blanco 35. FABRICADO EN MICROFIBRA. PUNTERA DE No lleva. PLANTILLA No lleva. SUELA DE PU/PU DOBLE DENSIDAD</v>
      </c>
      <c r="F572" t="str">
        <f>PROPER(E572)</f>
        <v>Zapato Mf Ob+Src Blanco 35. Fabricado En Microfibra. Puntera De No Lleva. Plantilla No Lleva. Suela De Pu/Pu Doble Densidad</v>
      </c>
      <c r="G572" s="24">
        <f>VLOOKUP(B572,Tabla1[],2,0)</f>
        <v>13.9</v>
      </c>
      <c r="H572" s="24">
        <f>+G572/0.7</f>
        <v>19.857142857142858</v>
      </c>
      <c r="I572" s="24">
        <f>+H572*1.21</f>
        <v>24.027142857142856</v>
      </c>
      <c r="J572" s="24" t="s">
        <v>2361</v>
      </c>
      <c r="K572" s="24" t="s">
        <v>2373</v>
      </c>
      <c r="L572" t="s">
        <v>1400</v>
      </c>
      <c r="M572" t="s">
        <v>1407</v>
      </c>
      <c r="N572" t="s">
        <v>1427</v>
      </c>
      <c r="O572" t="s">
        <v>1427</v>
      </c>
      <c r="P572" t="s">
        <v>1429</v>
      </c>
      <c r="Q572">
        <v>35</v>
      </c>
      <c r="R572" s="2">
        <v>8457780313103</v>
      </c>
      <c r="S572" s="3" t="s">
        <v>1157</v>
      </c>
      <c r="T572" t="s">
        <v>1336</v>
      </c>
      <c r="U572" t="s">
        <v>1337</v>
      </c>
    </row>
    <row r="573" spans="1:21" x14ac:dyDescent="0.25">
      <c r="A573" t="s">
        <v>517</v>
      </c>
      <c r="B573" t="s">
        <v>2257</v>
      </c>
      <c r="C573" t="s">
        <v>519</v>
      </c>
      <c r="D573" t="s">
        <v>1865</v>
      </c>
      <c r="E573" t="str">
        <f>+CONCATENATE(D573,". FABRICADO EN ",M573,". PUNTERA DE ",N573,". PLANTILLA ",O573,". SUELA DE ",P573)</f>
        <v>ZAPATO MF OB+SRC Blanco 36. FABRICADO EN MICROFIBRA. PUNTERA DE No lleva. PLANTILLA No lleva. SUELA DE PU/PU DOBLE DENSIDAD</v>
      </c>
      <c r="F573" t="str">
        <f>PROPER(E573)</f>
        <v>Zapato Mf Ob+Src Blanco 36. Fabricado En Microfibra. Puntera De No Lleva. Plantilla No Lleva. Suela De Pu/Pu Doble Densidad</v>
      </c>
      <c r="G573" s="24">
        <f>VLOOKUP(B573,Tabla1[],2,0)</f>
        <v>13.9</v>
      </c>
      <c r="H573" s="24">
        <f>+G573/0.7</f>
        <v>19.857142857142858</v>
      </c>
      <c r="I573" s="24">
        <f>+H573*1.21</f>
        <v>24.027142857142856</v>
      </c>
      <c r="J573" s="24" t="s">
        <v>2361</v>
      </c>
      <c r="K573" s="24" t="s">
        <v>2373</v>
      </c>
      <c r="L573" t="s">
        <v>1400</v>
      </c>
      <c r="M573" t="s">
        <v>1407</v>
      </c>
      <c r="N573" t="s">
        <v>1427</v>
      </c>
      <c r="O573" t="s">
        <v>1427</v>
      </c>
      <c r="P573" t="s">
        <v>1429</v>
      </c>
      <c r="Q573">
        <v>36</v>
      </c>
      <c r="R573" s="2">
        <v>8457780313110</v>
      </c>
      <c r="S573" s="3" t="s">
        <v>1158</v>
      </c>
      <c r="T573" t="s">
        <v>1336</v>
      </c>
      <c r="U573" t="s">
        <v>1337</v>
      </c>
    </row>
    <row r="574" spans="1:21" x14ac:dyDescent="0.25">
      <c r="A574" t="s">
        <v>517</v>
      </c>
      <c r="B574" t="s">
        <v>2257</v>
      </c>
      <c r="C574" t="s">
        <v>520</v>
      </c>
      <c r="D574" t="s">
        <v>1866</v>
      </c>
      <c r="E574" t="str">
        <f>+CONCATENATE(D574,". FABRICADO EN ",M574,". PUNTERA DE ",N574,". PLANTILLA ",O574,". SUELA DE ",P574)</f>
        <v>ZAPATO MF OB+SRC Blanco 37. FABRICADO EN MICROFIBRA. PUNTERA DE No lleva. PLANTILLA No lleva. SUELA DE PU/PU DOBLE DENSIDAD</v>
      </c>
      <c r="F574" t="str">
        <f>PROPER(E574)</f>
        <v>Zapato Mf Ob+Src Blanco 37. Fabricado En Microfibra. Puntera De No Lleva. Plantilla No Lleva. Suela De Pu/Pu Doble Densidad</v>
      </c>
      <c r="G574" s="24">
        <f>VLOOKUP(B574,Tabla1[],2,0)</f>
        <v>13.9</v>
      </c>
      <c r="H574" s="24">
        <f>+G574/0.7</f>
        <v>19.857142857142858</v>
      </c>
      <c r="I574" s="24">
        <f>+H574*1.21</f>
        <v>24.027142857142856</v>
      </c>
      <c r="J574" s="24" t="s">
        <v>2361</v>
      </c>
      <c r="K574" s="24" t="s">
        <v>2373</v>
      </c>
      <c r="L574" t="s">
        <v>1400</v>
      </c>
      <c r="M574" t="s">
        <v>1407</v>
      </c>
      <c r="N574" t="s">
        <v>1427</v>
      </c>
      <c r="O574" t="s">
        <v>1427</v>
      </c>
      <c r="P574" t="s">
        <v>1429</v>
      </c>
      <c r="Q574">
        <v>37</v>
      </c>
      <c r="R574" s="2">
        <v>8457780313127</v>
      </c>
      <c r="S574" s="3" t="s">
        <v>1159</v>
      </c>
      <c r="T574" t="s">
        <v>1336</v>
      </c>
      <c r="U574" t="s">
        <v>1337</v>
      </c>
    </row>
    <row r="575" spans="1:21" x14ac:dyDescent="0.25">
      <c r="A575" t="s">
        <v>517</v>
      </c>
      <c r="B575" t="s">
        <v>2257</v>
      </c>
      <c r="C575" t="s">
        <v>521</v>
      </c>
      <c r="D575" t="s">
        <v>1867</v>
      </c>
      <c r="E575" t="str">
        <f>+CONCATENATE(D575,". FABRICADO EN ",M575,". PUNTERA DE ",N575,". PLANTILLA ",O575,". SUELA DE ",P575)</f>
        <v>ZAPATO MF OB+SRC Blanco 38. FABRICADO EN MICROFIBRA. PUNTERA DE No lleva. PLANTILLA No lleva. SUELA DE PU/PU DOBLE DENSIDAD</v>
      </c>
      <c r="F575" t="str">
        <f>PROPER(E575)</f>
        <v>Zapato Mf Ob+Src Blanco 38. Fabricado En Microfibra. Puntera De No Lleva. Plantilla No Lleva. Suela De Pu/Pu Doble Densidad</v>
      </c>
      <c r="G575" s="24">
        <f>VLOOKUP(B575,Tabla1[],2,0)</f>
        <v>13.9</v>
      </c>
      <c r="H575" s="24">
        <f>+G575/0.7</f>
        <v>19.857142857142858</v>
      </c>
      <c r="I575" s="24">
        <f>+H575*1.21</f>
        <v>24.027142857142856</v>
      </c>
      <c r="J575" s="24" t="s">
        <v>2361</v>
      </c>
      <c r="K575" s="24" t="s">
        <v>2373</v>
      </c>
      <c r="L575" t="s">
        <v>1400</v>
      </c>
      <c r="M575" t="s">
        <v>1407</v>
      </c>
      <c r="N575" t="s">
        <v>1427</v>
      </c>
      <c r="O575" t="s">
        <v>1427</v>
      </c>
      <c r="P575" t="s">
        <v>1429</v>
      </c>
      <c r="Q575">
        <v>38</v>
      </c>
      <c r="R575" s="2">
        <v>8457780313134</v>
      </c>
      <c r="S575" s="3" t="s">
        <v>1160</v>
      </c>
      <c r="T575" t="s">
        <v>1336</v>
      </c>
      <c r="U575" t="s">
        <v>1337</v>
      </c>
    </row>
    <row r="576" spans="1:21" x14ac:dyDescent="0.25">
      <c r="A576" t="s">
        <v>517</v>
      </c>
      <c r="B576" t="s">
        <v>2257</v>
      </c>
      <c r="C576" t="s">
        <v>522</v>
      </c>
      <c r="D576" t="s">
        <v>1868</v>
      </c>
      <c r="E576" t="str">
        <f>+CONCATENATE(D576,". FABRICADO EN ",M576,". PUNTERA DE ",N576,". PLANTILLA ",O576,". SUELA DE ",P576)</f>
        <v>ZAPATO MF OB+SRC Blanco 39. FABRICADO EN MICROFIBRA. PUNTERA DE No lleva. PLANTILLA No lleva. SUELA DE PU/PU DOBLE DENSIDAD</v>
      </c>
      <c r="F576" t="str">
        <f>PROPER(E576)</f>
        <v>Zapato Mf Ob+Src Blanco 39. Fabricado En Microfibra. Puntera De No Lleva. Plantilla No Lleva. Suela De Pu/Pu Doble Densidad</v>
      </c>
      <c r="G576" s="24">
        <f>VLOOKUP(B576,Tabla1[],2,0)</f>
        <v>13.9</v>
      </c>
      <c r="H576" s="24">
        <f>+G576/0.7</f>
        <v>19.857142857142858</v>
      </c>
      <c r="I576" s="24">
        <f>+H576*1.21</f>
        <v>24.027142857142856</v>
      </c>
      <c r="J576" s="24" t="s">
        <v>2361</v>
      </c>
      <c r="K576" s="24" t="s">
        <v>2373</v>
      </c>
      <c r="L576" t="s">
        <v>1400</v>
      </c>
      <c r="M576" t="s">
        <v>1407</v>
      </c>
      <c r="N576" t="s">
        <v>1427</v>
      </c>
      <c r="O576" t="s">
        <v>1427</v>
      </c>
      <c r="P576" t="s">
        <v>1429</v>
      </c>
      <c r="Q576">
        <v>39</v>
      </c>
      <c r="R576" s="2">
        <v>8457780313141</v>
      </c>
      <c r="S576" s="3" t="s">
        <v>1161</v>
      </c>
      <c r="T576" t="s">
        <v>1336</v>
      </c>
      <c r="U576" t="s">
        <v>1337</v>
      </c>
    </row>
    <row r="577" spans="1:21" x14ac:dyDescent="0.25">
      <c r="A577" t="s">
        <v>517</v>
      </c>
      <c r="B577" t="s">
        <v>2257</v>
      </c>
      <c r="C577" t="s">
        <v>523</v>
      </c>
      <c r="D577" t="s">
        <v>1869</v>
      </c>
      <c r="E577" t="str">
        <f>+CONCATENATE(D577,". FABRICADO EN ",M577,". PUNTERA DE ",N577,". PLANTILLA ",O577,". SUELA DE ",P577)</f>
        <v>ZAPATO MF OB+SRC Blanco 40. FABRICADO EN MICROFIBRA. PUNTERA DE No lleva. PLANTILLA No lleva. SUELA DE PU/PU DOBLE DENSIDAD</v>
      </c>
      <c r="F577" t="str">
        <f>PROPER(E577)</f>
        <v>Zapato Mf Ob+Src Blanco 40. Fabricado En Microfibra. Puntera De No Lleva. Plantilla No Lleva. Suela De Pu/Pu Doble Densidad</v>
      </c>
      <c r="G577" s="24">
        <f>VLOOKUP(B577,Tabla1[],2,0)</f>
        <v>13.9</v>
      </c>
      <c r="H577" s="24">
        <f>+G577/0.7</f>
        <v>19.857142857142858</v>
      </c>
      <c r="I577" s="24">
        <f>+H577*1.21</f>
        <v>24.027142857142856</v>
      </c>
      <c r="J577" s="24" t="s">
        <v>2361</v>
      </c>
      <c r="K577" s="24" t="s">
        <v>2373</v>
      </c>
      <c r="L577" t="s">
        <v>1400</v>
      </c>
      <c r="M577" t="s">
        <v>1407</v>
      </c>
      <c r="N577" t="s">
        <v>1427</v>
      </c>
      <c r="O577" t="s">
        <v>1427</v>
      </c>
      <c r="P577" t="s">
        <v>1429</v>
      </c>
      <c r="Q577">
        <v>40</v>
      </c>
      <c r="R577" s="2">
        <v>8457780313158</v>
      </c>
      <c r="S577" s="3" t="s">
        <v>1162</v>
      </c>
      <c r="T577" t="s">
        <v>1336</v>
      </c>
      <c r="U577" t="s">
        <v>1337</v>
      </c>
    </row>
    <row r="578" spans="1:21" x14ac:dyDescent="0.25">
      <c r="A578" t="s">
        <v>517</v>
      </c>
      <c r="B578" t="s">
        <v>2257</v>
      </c>
      <c r="C578" t="s">
        <v>524</v>
      </c>
      <c r="D578" t="s">
        <v>1870</v>
      </c>
      <c r="E578" t="str">
        <f>+CONCATENATE(D578,". FABRICADO EN ",M578,". PUNTERA DE ",N578,". PLANTILLA ",O578,". SUELA DE ",P578)</f>
        <v>ZAPATO MF OB+SRC Blanco 41. FABRICADO EN MICROFIBRA. PUNTERA DE No lleva. PLANTILLA No lleva. SUELA DE PU/PU DOBLE DENSIDAD</v>
      </c>
      <c r="F578" t="str">
        <f>PROPER(E578)</f>
        <v>Zapato Mf Ob+Src Blanco 41. Fabricado En Microfibra. Puntera De No Lleva. Plantilla No Lleva. Suela De Pu/Pu Doble Densidad</v>
      </c>
      <c r="G578" s="24">
        <f>VLOOKUP(B578,Tabla1[],2,0)</f>
        <v>13.9</v>
      </c>
      <c r="H578" s="24">
        <f>+G578/0.7</f>
        <v>19.857142857142858</v>
      </c>
      <c r="I578" s="24">
        <f>+H578*1.21</f>
        <v>24.027142857142856</v>
      </c>
      <c r="J578" s="24" t="s">
        <v>2361</v>
      </c>
      <c r="K578" s="24" t="s">
        <v>2373</v>
      </c>
      <c r="L578" t="s">
        <v>1400</v>
      </c>
      <c r="M578" t="s">
        <v>1407</v>
      </c>
      <c r="N578" t="s">
        <v>1427</v>
      </c>
      <c r="O578" t="s">
        <v>1427</v>
      </c>
      <c r="P578" t="s">
        <v>1429</v>
      </c>
      <c r="Q578">
        <v>41</v>
      </c>
      <c r="R578" s="2">
        <v>8457780313165</v>
      </c>
      <c r="S578" s="3" t="s">
        <v>1163</v>
      </c>
      <c r="T578" t="s">
        <v>1336</v>
      </c>
      <c r="U578" t="s">
        <v>1337</v>
      </c>
    </row>
    <row r="579" spans="1:21" x14ac:dyDescent="0.25">
      <c r="A579" t="s">
        <v>517</v>
      </c>
      <c r="B579" t="s">
        <v>2257</v>
      </c>
      <c r="C579" t="s">
        <v>525</v>
      </c>
      <c r="D579" t="s">
        <v>1871</v>
      </c>
      <c r="E579" t="str">
        <f>+CONCATENATE(D579,". FABRICADO EN ",M579,". PUNTERA DE ",N579,". PLANTILLA ",O579,". SUELA DE ",P579)</f>
        <v>ZAPATO MF OB+SRC Blanco 42. FABRICADO EN MICROFIBRA. PUNTERA DE No lleva. PLANTILLA No lleva. SUELA DE PU/PU DOBLE DENSIDAD</v>
      </c>
      <c r="F579" t="str">
        <f>PROPER(E579)</f>
        <v>Zapato Mf Ob+Src Blanco 42. Fabricado En Microfibra. Puntera De No Lleva. Plantilla No Lleva. Suela De Pu/Pu Doble Densidad</v>
      </c>
      <c r="G579" s="24">
        <f>VLOOKUP(B579,Tabla1[],2,0)</f>
        <v>13.9</v>
      </c>
      <c r="H579" s="24">
        <f>+G579/0.7</f>
        <v>19.857142857142858</v>
      </c>
      <c r="I579" s="24">
        <f>+H579*1.21</f>
        <v>24.027142857142856</v>
      </c>
      <c r="J579" s="24" t="s">
        <v>2361</v>
      </c>
      <c r="K579" s="24" t="s">
        <v>2373</v>
      </c>
      <c r="L579" t="s">
        <v>1400</v>
      </c>
      <c r="M579" t="s">
        <v>1407</v>
      </c>
      <c r="N579" t="s">
        <v>1427</v>
      </c>
      <c r="O579" t="s">
        <v>1427</v>
      </c>
      <c r="P579" t="s">
        <v>1429</v>
      </c>
      <c r="Q579">
        <v>42</v>
      </c>
      <c r="R579" s="2">
        <v>8457780313172</v>
      </c>
      <c r="S579" s="3" t="s">
        <v>1164</v>
      </c>
      <c r="T579" t="s">
        <v>1336</v>
      </c>
      <c r="U579" t="s">
        <v>1337</v>
      </c>
    </row>
    <row r="580" spans="1:21" x14ac:dyDescent="0.25">
      <c r="A580" t="s">
        <v>517</v>
      </c>
      <c r="B580" t="s">
        <v>2257</v>
      </c>
      <c r="C580" t="s">
        <v>526</v>
      </c>
      <c r="D580" t="s">
        <v>1872</v>
      </c>
      <c r="E580" t="str">
        <f>+CONCATENATE(D580,". FABRICADO EN ",M580,". PUNTERA DE ",N580,". PLANTILLA ",O580,". SUELA DE ",P580)</f>
        <v>ZAPATO MF OB+SRC Blanco 43. FABRICADO EN MICROFIBRA. PUNTERA DE No lleva. PLANTILLA No lleva. SUELA DE PU/PU DOBLE DENSIDAD</v>
      </c>
      <c r="F580" t="str">
        <f>PROPER(E580)</f>
        <v>Zapato Mf Ob+Src Blanco 43. Fabricado En Microfibra. Puntera De No Lleva. Plantilla No Lleva. Suela De Pu/Pu Doble Densidad</v>
      </c>
      <c r="G580" s="24">
        <f>VLOOKUP(B580,Tabla1[],2,0)</f>
        <v>13.9</v>
      </c>
      <c r="H580" s="24">
        <f>+G580/0.7</f>
        <v>19.857142857142858</v>
      </c>
      <c r="I580" s="24">
        <f>+H580*1.21</f>
        <v>24.027142857142856</v>
      </c>
      <c r="J580" s="24" t="s">
        <v>2361</v>
      </c>
      <c r="K580" s="24" t="s">
        <v>2373</v>
      </c>
      <c r="L580" t="s">
        <v>1400</v>
      </c>
      <c r="M580" t="s">
        <v>1407</v>
      </c>
      <c r="N580" t="s">
        <v>1427</v>
      </c>
      <c r="O580" t="s">
        <v>1427</v>
      </c>
      <c r="P580" t="s">
        <v>1429</v>
      </c>
      <c r="Q580">
        <v>43</v>
      </c>
      <c r="R580" s="2">
        <v>8457780313189</v>
      </c>
      <c r="S580" s="3" t="s">
        <v>1165</v>
      </c>
      <c r="T580" t="s">
        <v>1336</v>
      </c>
      <c r="U580" t="s">
        <v>1337</v>
      </c>
    </row>
    <row r="581" spans="1:21" x14ac:dyDescent="0.25">
      <c r="A581" t="s">
        <v>517</v>
      </c>
      <c r="B581" t="s">
        <v>2257</v>
      </c>
      <c r="C581" t="s">
        <v>527</v>
      </c>
      <c r="D581" t="s">
        <v>1873</v>
      </c>
      <c r="E581" t="str">
        <f>+CONCATENATE(D581,". FABRICADO EN ",M581,". PUNTERA DE ",N581,". PLANTILLA ",O581,". SUELA DE ",P581)</f>
        <v>ZAPATO MF OB+SRC Blanco 44. FABRICADO EN MICROFIBRA. PUNTERA DE No lleva. PLANTILLA No lleva. SUELA DE PU/PU DOBLE DENSIDAD</v>
      </c>
      <c r="F581" t="str">
        <f>PROPER(E581)</f>
        <v>Zapato Mf Ob+Src Blanco 44. Fabricado En Microfibra. Puntera De No Lleva. Plantilla No Lleva. Suela De Pu/Pu Doble Densidad</v>
      </c>
      <c r="G581" s="24">
        <f>VLOOKUP(B581,Tabla1[],2,0)</f>
        <v>13.9</v>
      </c>
      <c r="H581" s="24">
        <f>+G581/0.7</f>
        <v>19.857142857142858</v>
      </c>
      <c r="I581" s="24">
        <f>+H581*1.21</f>
        <v>24.027142857142856</v>
      </c>
      <c r="J581" s="24" t="s">
        <v>2361</v>
      </c>
      <c r="K581" s="24" t="s">
        <v>2373</v>
      </c>
      <c r="L581" t="s">
        <v>1400</v>
      </c>
      <c r="M581" t="s">
        <v>1407</v>
      </c>
      <c r="N581" t="s">
        <v>1427</v>
      </c>
      <c r="O581" t="s">
        <v>1427</v>
      </c>
      <c r="P581" t="s">
        <v>1429</v>
      </c>
      <c r="Q581">
        <v>44</v>
      </c>
      <c r="R581" s="2">
        <v>8457780313196</v>
      </c>
      <c r="S581" s="3" t="s">
        <v>1166</v>
      </c>
      <c r="T581" t="s">
        <v>1336</v>
      </c>
      <c r="U581" t="s">
        <v>1337</v>
      </c>
    </row>
    <row r="582" spans="1:21" x14ac:dyDescent="0.25">
      <c r="A582" t="s">
        <v>517</v>
      </c>
      <c r="B582" t="s">
        <v>2257</v>
      </c>
      <c r="C582" t="s">
        <v>528</v>
      </c>
      <c r="D582" t="s">
        <v>1874</v>
      </c>
      <c r="E582" t="str">
        <f>+CONCATENATE(D582,". FABRICADO EN ",M582,". PUNTERA DE ",N582,". PLANTILLA ",O582,". SUELA DE ",P582)</f>
        <v>ZAPATO MF OB+SRC Blanco 45. FABRICADO EN MICROFIBRA. PUNTERA DE No lleva. PLANTILLA No lleva. SUELA DE PU/PU DOBLE DENSIDAD</v>
      </c>
      <c r="F582" t="str">
        <f>PROPER(E582)</f>
        <v>Zapato Mf Ob+Src Blanco 45. Fabricado En Microfibra. Puntera De No Lleva. Plantilla No Lleva. Suela De Pu/Pu Doble Densidad</v>
      </c>
      <c r="G582" s="24">
        <f>VLOOKUP(B582,Tabla1[],2,0)</f>
        <v>13.9</v>
      </c>
      <c r="H582" s="24">
        <f>+G582/0.7</f>
        <v>19.857142857142858</v>
      </c>
      <c r="I582" s="24">
        <f>+H582*1.21</f>
        <v>24.027142857142856</v>
      </c>
      <c r="J582" s="24" t="s">
        <v>2361</v>
      </c>
      <c r="K582" s="24" t="s">
        <v>2373</v>
      </c>
      <c r="L582" t="s">
        <v>1400</v>
      </c>
      <c r="M582" t="s">
        <v>1407</v>
      </c>
      <c r="N582" t="s">
        <v>1427</v>
      </c>
      <c r="O582" t="s">
        <v>1427</v>
      </c>
      <c r="P582" t="s">
        <v>1429</v>
      </c>
      <c r="Q582">
        <v>45</v>
      </c>
      <c r="R582" s="2">
        <v>8457780313202</v>
      </c>
      <c r="S582" s="3" t="s">
        <v>1167</v>
      </c>
      <c r="T582" t="s">
        <v>1336</v>
      </c>
      <c r="U582" t="s">
        <v>1337</v>
      </c>
    </row>
    <row r="583" spans="1:21" x14ac:dyDescent="0.25">
      <c r="A583" t="s">
        <v>517</v>
      </c>
      <c r="B583" t="s">
        <v>2257</v>
      </c>
      <c r="C583" t="s">
        <v>529</v>
      </c>
      <c r="D583" t="s">
        <v>1875</v>
      </c>
      <c r="E583" t="str">
        <f>+CONCATENATE(D583,". FABRICADO EN ",M583,". PUNTERA DE ",N583,". PLANTILLA ",O583,". SUELA DE ",P583)</f>
        <v>ZAPATO MF OB+SRC Blanco 46. FABRICADO EN MICROFIBRA. PUNTERA DE No lleva. PLANTILLA No lleva. SUELA DE PU/PU DOBLE DENSIDAD</v>
      </c>
      <c r="F583" t="str">
        <f>PROPER(E583)</f>
        <v>Zapato Mf Ob+Src Blanco 46. Fabricado En Microfibra. Puntera De No Lleva. Plantilla No Lleva. Suela De Pu/Pu Doble Densidad</v>
      </c>
      <c r="G583" s="24">
        <f>VLOOKUP(B583,Tabla1[],2,0)</f>
        <v>13.9</v>
      </c>
      <c r="H583" s="24">
        <f>+G583/0.7</f>
        <v>19.857142857142858</v>
      </c>
      <c r="I583" s="24">
        <f>+H583*1.21</f>
        <v>24.027142857142856</v>
      </c>
      <c r="J583" s="24" t="s">
        <v>2361</v>
      </c>
      <c r="K583" s="24" t="s">
        <v>2373</v>
      </c>
      <c r="L583" t="s">
        <v>1400</v>
      </c>
      <c r="M583" t="s">
        <v>1407</v>
      </c>
      <c r="N583" t="s">
        <v>1427</v>
      </c>
      <c r="O583" t="s">
        <v>1427</v>
      </c>
      <c r="P583" t="s">
        <v>1429</v>
      </c>
      <c r="Q583">
        <v>46</v>
      </c>
      <c r="R583" s="2">
        <v>8457780313219</v>
      </c>
      <c r="S583" s="3" t="s">
        <v>1168</v>
      </c>
      <c r="T583" t="s">
        <v>1336</v>
      </c>
      <c r="U583" t="s">
        <v>1337</v>
      </c>
    </row>
    <row r="584" spans="1:21" x14ac:dyDescent="0.25">
      <c r="A584" t="s">
        <v>517</v>
      </c>
      <c r="B584" t="s">
        <v>2257</v>
      </c>
      <c r="C584" t="s">
        <v>530</v>
      </c>
      <c r="D584" t="s">
        <v>1876</v>
      </c>
      <c r="E584" t="str">
        <f>+CONCATENATE(D584,". FABRICADO EN ",M584,". PUNTERA DE ",N584,". PLANTILLA ",O584,". SUELA DE ",P584)</f>
        <v>ZAPATO MF OB+SRC Blanco 47. FABRICADO EN MICROFIBRA. PUNTERA DE No lleva. PLANTILLA No lleva. SUELA DE PU/PU DOBLE DENSIDAD</v>
      </c>
      <c r="F584" t="str">
        <f>PROPER(E584)</f>
        <v>Zapato Mf Ob+Src Blanco 47. Fabricado En Microfibra. Puntera De No Lleva. Plantilla No Lleva. Suela De Pu/Pu Doble Densidad</v>
      </c>
      <c r="G584" s="24">
        <f>VLOOKUP(B584,Tabla1[],2,0)</f>
        <v>13.9</v>
      </c>
      <c r="H584" s="24">
        <f>+G584/0.7</f>
        <v>19.857142857142858</v>
      </c>
      <c r="I584" s="24">
        <f>+H584*1.21</f>
        <v>24.027142857142856</v>
      </c>
      <c r="J584" s="24" t="s">
        <v>2361</v>
      </c>
      <c r="K584" s="24" t="s">
        <v>2373</v>
      </c>
      <c r="L584" t="s">
        <v>1400</v>
      </c>
      <c r="M584" t="s">
        <v>1407</v>
      </c>
      <c r="N584" t="s">
        <v>1427</v>
      </c>
      <c r="O584" t="s">
        <v>1427</v>
      </c>
      <c r="P584" t="s">
        <v>1429</v>
      </c>
      <c r="Q584">
        <v>47</v>
      </c>
      <c r="R584" s="2">
        <v>8457780313226</v>
      </c>
      <c r="S584" s="3" t="s">
        <v>1169</v>
      </c>
      <c r="T584" t="s">
        <v>1336</v>
      </c>
      <c r="U584" t="s">
        <v>1337</v>
      </c>
    </row>
    <row r="585" spans="1:21" x14ac:dyDescent="0.25">
      <c r="A585" t="s">
        <v>517</v>
      </c>
      <c r="B585" t="s">
        <v>2257</v>
      </c>
      <c r="C585" t="s">
        <v>531</v>
      </c>
      <c r="D585" t="s">
        <v>1877</v>
      </c>
      <c r="E585" t="str">
        <f>+CONCATENATE(D585,". FABRICADO EN ",M585,". PUNTERA DE ",N585,". PLANTILLA ",O585,". SUELA DE ",P585)</f>
        <v>ZAPATO MF OB+SRC Blanco 48. FABRICADO EN MICROFIBRA. PUNTERA DE No lleva. PLANTILLA No lleva. SUELA DE PU/PU DOBLE DENSIDAD</v>
      </c>
      <c r="F585" t="str">
        <f>PROPER(E585)</f>
        <v>Zapato Mf Ob+Src Blanco 48. Fabricado En Microfibra. Puntera De No Lleva. Plantilla No Lleva. Suela De Pu/Pu Doble Densidad</v>
      </c>
      <c r="G585" s="24">
        <f>VLOOKUP(B585,Tabla1[],2,0)</f>
        <v>13.9</v>
      </c>
      <c r="H585" s="24">
        <f>+G585/0.7</f>
        <v>19.857142857142858</v>
      </c>
      <c r="I585" s="24">
        <f>+H585*1.21</f>
        <v>24.027142857142856</v>
      </c>
      <c r="J585" s="24" t="s">
        <v>2361</v>
      </c>
      <c r="K585" s="24" t="s">
        <v>2373</v>
      </c>
      <c r="L585" t="s">
        <v>1400</v>
      </c>
      <c r="M585" t="s">
        <v>1407</v>
      </c>
      <c r="N585" t="s">
        <v>1427</v>
      </c>
      <c r="O585" t="s">
        <v>1427</v>
      </c>
      <c r="P585" t="s">
        <v>1429</v>
      </c>
      <c r="Q585">
        <v>48</v>
      </c>
      <c r="R585" s="2">
        <v>8457780313233</v>
      </c>
      <c r="S585" s="3" t="s">
        <v>1170</v>
      </c>
      <c r="T585" t="s">
        <v>1336</v>
      </c>
      <c r="U585" t="s">
        <v>1337</v>
      </c>
    </row>
    <row r="586" spans="1:21" x14ac:dyDescent="0.25">
      <c r="A586" t="s">
        <v>532</v>
      </c>
      <c r="B586" t="s">
        <v>2258</v>
      </c>
      <c r="C586" t="s">
        <v>533</v>
      </c>
      <c r="D586" t="s">
        <v>1878</v>
      </c>
      <c r="E586" t="str">
        <f>+CONCATENATE(D586,". FABRICADO EN ",M586,". PUNTERA DE ",N586,". PLANTILLA ",O586,". SUELA DE ",P586)</f>
        <v>ZAPATO S3+CI+SRC+ESD Azul 35. FABRICADO EN TEXTIL S3. PUNTERA DE Fibra de vidrio. PLANTILLA Antiperforación textil. SUELA DE PU/PU DOBLE DENSIDAD</v>
      </c>
      <c r="F586" t="str">
        <f>PROPER(E586)</f>
        <v>Zapato S3+Ci+Src+Esd Azul 35. Fabricado En Textil S3. Puntera De Fibra De Vidrio. Plantilla Antiperforación Textil. Suela De Pu/Pu Doble Densidad</v>
      </c>
      <c r="G586" s="24">
        <f>VLOOKUP(B586,Tabla1[],2,0)</f>
        <v>24.9</v>
      </c>
      <c r="H586" s="24">
        <f>+G586/0.72</f>
        <v>34.583333333333336</v>
      </c>
      <c r="I586" s="24">
        <f>+H586*1.21</f>
        <v>41.845833333333331</v>
      </c>
      <c r="J586" s="24" t="s">
        <v>2359</v>
      </c>
      <c r="K586" s="24" t="s">
        <v>2365</v>
      </c>
      <c r="L586" t="s">
        <v>1392</v>
      </c>
      <c r="M586" t="s">
        <v>1414</v>
      </c>
      <c r="N586" t="s">
        <v>1425</v>
      </c>
      <c r="O586" t="s">
        <v>1428</v>
      </c>
      <c r="P586" t="s">
        <v>1429</v>
      </c>
      <c r="Q586">
        <v>35</v>
      </c>
      <c r="R586" s="2">
        <v>8457780312403</v>
      </c>
      <c r="S586" s="3" t="s">
        <v>1171</v>
      </c>
      <c r="T586" t="s">
        <v>1365</v>
      </c>
      <c r="U586" t="s">
        <v>1366</v>
      </c>
    </row>
    <row r="587" spans="1:21" x14ac:dyDescent="0.25">
      <c r="A587" t="s">
        <v>532</v>
      </c>
      <c r="B587" t="s">
        <v>2258</v>
      </c>
      <c r="C587" t="s">
        <v>534</v>
      </c>
      <c r="D587" t="s">
        <v>1879</v>
      </c>
      <c r="E587" t="str">
        <f>+CONCATENATE(D587,". FABRICADO EN ",M587,". PUNTERA DE ",N587,". PLANTILLA ",O587,". SUELA DE ",P587)</f>
        <v>ZAPATO S3+CI+SRC+ESD Azul 36. FABRICADO EN TEXTIL S3. PUNTERA DE Fibra de vidrio. PLANTILLA Antiperforación textil. SUELA DE PU/PU DOBLE DENSIDAD</v>
      </c>
      <c r="F587" t="str">
        <f>PROPER(E587)</f>
        <v>Zapato S3+Ci+Src+Esd Azul 36. Fabricado En Textil S3. Puntera De Fibra De Vidrio. Plantilla Antiperforación Textil. Suela De Pu/Pu Doble Densidad</v>
      </c>
      <c r="G587" s="24">
        <f>VLOOKUP(B587,Tabla1[],2,0)</f>
        <v>24.9</v>
      </c>
      <c r="H587" s="24">
        <f>+G587/0.72</f>
        <v>34.583333333333336</v>
      </c>
      <c r="I587" s="24">
        <f>+H587*1.21</f>
        <v>41.845833333333331</v>
      </c>
      <c r="J587" s="24" t="s">
        <v>2359</v>
      </c>
      <c r="K587" s="24" t="s">
        <v>2365</v>
      </c>
      <c r="L587" t="s">
        <v>1392</v>
      </c>
      <c r="M587" t="s">
        <v>1414</v>
      </c>
      <c r="N587" t="s">
        <v>1425</v>
      </c>
      <c r="O587" t="s">
        <v>1428</v>
      </c>
      <c r="P587" t="s">
        <v>1429</v>
      </c>
      <c r="Q587">
        <v>36</v>
      </c>
      <c r="R587" s="2">
        <v>8457780312410</v>
      </c>
      <c r="S587" s="3" t="s">
        <v>1172</v>
      </c>
      <c r="T587" t="s">
        <v>1365</v>
      </c>
      <c r="U587" t="s">
        <v>1366</v>
      </c>
    </row>
    <row r="588" spans="1:21" x14ac:dyDescent="0.25">
      <c r="A588" t="s">
        <v>532</v>
      </c>
      <c r="B588" t="s">
        <v>2258</v>
      </c>
      <c r="C588" t="s">
        <v>535</v>
      </c>
      <c r="D588" t="s">
        <v>1880</v>
      </c>
      <c r="E588" t="str">
        <f>+CONCATENATE(D588,". FABRICADO EN ",M588,". PUNTERA DE ",N588,". PLANTILLA ",O588,". SUELA DE ",P588)</f>
        <v>ZAPATO S3+CI+SRC+ESD Azul 37. FABRICADO EN TEXTIL S3. PUNTERA DE Fibra de vidrio. PLANTILLA Antiperforación textil. SUELA DE PU/PU DOBLE DENSIDAD</v>
      </c>
      <c r="F588" t="str">
        <f>PROPER(E588)</f>
        <v>Zapato S3+Ci+Src+Esd Azul 37. Fabricado En Textil S3. Puntera De Fibra De Vidrio. Plantilla Antiperforación Textil. Suela De Pu/Pu Doble Densidad</v>
      </c>
      <c r="G588" s="24">
        <f>VLOOKUP(B588,Tabla1[],2,0)</f>
        <v>24.9</v>
      </c>
      <c r="H588" s="24">
        <f>+G588/0.72</f>
        <v>34.583333333333336</v>
      </c>
      <c r="I588" s="24">
        <f>+H588*1.21</f>
        <v>41.845833333333331</v>
      </c>
      <c r="J588" s="24" t="s">
        <v>2359</v>
      </c>
      <c r="K588" s="24" t="s">
        <v>2365</v>
      </c>
      <c r="L588" t="s">
        <v>1392</v>
      </c>
      <c r="M588" t="s">
        <v>1414</v>
      </c>
      <c r="N588" t="s">
        <v>1425</v>
      </c>
      <c r="O588" t="s">
        <v>1428</v>
      </c>
      <c r="P588" t="s">
        <v>1429</v>
      </c>
      <c r="Q588">
        <v>37</v>
      </c>
      <c r="R588" s="2">
        <v>8457780312427</v>
      </c>
      <c r="S588" s="3" t="s">
        <v>1173</v>
      </c>
      <c r="T588" t="s">
        <v>1365</v>
      </c>
      <c r="U588" t="s">
        <v>1366</v>
      </c>
    </row>
    <row r="589" spans="1:21" x14ac:dyDescent="0.25">
      <c r="A589" t="s">
        <v>532</v>
      </c>
      <c r="B589" t="s">
        <v>2258</v>
      </c>
      <c r="C589" t="s">
        <v>536</v>
      </c>
      <c r="D589" t="s">
        <v>1881</v>
      </c>
      <c r="E589" t="str">
        <f>+CONCATENATE(D589,". FABRICADO EN ",M589,". PUNTERA DE ",N589,". PLANTILLA ",O589,". SUELA DE ",P589)</f>
        <v>ZAPATO S3+CI+SRC+ESD Azul 38. FABRICADO EN TEXTIL S3. PUNTERA DE Fibra de vidrio. PLANTILLA Antiperforación textil. SUELA DE PU/PU DOBLE DENSIDAD</v>
      </c>
      <c r="F589" t="str">
        <f>PROPER(E589)</f>
        <v>Zapato S3+Ci+Src+Esd Azul 38. Fabricado En Textil S3. Puntera De Fibra De Vidrio. Plantilla Antiperforación Textil. Suela De Pu/Pu Doble Densidad</v>
      </c>
      <c r="G589" s="24">
        <f>VLOOKUP(B589,Tabla1[],2,0)</f>
        <v>24.9</v>
      </c>
      <c r="H589" s="24">
        <f>+G589/0.72</f>
        <v>34.583333333333336</v>
      </c>
      <c r="I589" s="24">
        <f>+H589*1.21</f>
        <v>41.845833333333331</v>
      </c>
      <c r="J589" s="24" t="s">
        <v>2359</v>
      </c>
      <c r="K589" s="24" t="s">
        <v>2365</v>
      </c>
      <c r="L589" t="s">
        <v>1392</v>
      </c>
      <c r="M589" t="s">
        <v>1414</v>
      </c>
      <c r="N589" t="s">
        <v>1425</v>
      </c>
      <c r="O589" t="s">
        <v>1428</v>
      </c>
      <c r="P589" t="s">
        <v>1429</v>
      </c>
      <c r="Q589">
        <v>38</v>
      </c>
      <c r="R589" s="2">
        <v>8457780312434</v>
      </c>
      <c r="S589" s="3" t="s">
        <v>1174</v>
      </c>
      <c r="T589" t="s">
        <v>1365</v>
      </c>
      <c r="U589" t="s">
        <v>1366</v>
      </c>
    </row>
    <row r="590" spans="1:21" x14ac:dyDescent="0.25">
      <c r="A590" t="s">
        <v>532</v>
      </c>
      <c r="B590" t="s">
        <v>2258</v>
      </c>
      <c r="C590" t="s">
        <v>537</v>
      </c>
      <c r="D590" t="s">
        <v>1882</v>
      </c>
      <c r="E590" t="str">
        <f>+CONCATENATE(D590,". FABRICADO EN ",M590,". PUNTERA DE ",N590,". PLANTILLA ",O590,". SUELA DE ",P590)</f>
        <v>ZAPATO S3+CI+SRC+ESD Azul 39. FABRICADO EN TEXTIL S3. PUNTERA DE Fibra de vidrio. PLANTILLA Antiperforación textil. SUELA DE PU/PU DOBLE DENSIDAD</v>
      </c>
      <c r="F590" t="str">
        <f>PROPER(E590)</f>
        <v>Zapato S3+Ci+Src+Esd Azul 39. Fabricado En Textil S3. Puntera De Fibra De Vidrio. Plantilla Antiperforación Textil. Suela De Pu/Pu Doble Densidad</v>
      </c>
      <c r="G590" s="24">
        <f>VLOOKUP(B590,Tabla1[],2,0)</f>
        <v>24.9</v>
      </c>
      <c r="H590" s="24">
        <f>+G590/0.72</f>
        <v>34.583333333333336</v>
      </c>
      <c r="I590" s="24">
        <f>+H590*1.21</f>
        <v>41.845833333333331</v>
      </c>
      <c r="J590" s="24" t="s">
        <v>2359</v>
      </c>
      <c r="K590" s="24" t="s">
        <v>2365</v>
      </c>
      <c r="L590" t="s">
        <v>1392</v>
      </c>
      <c r="M590" t="s">
        <v>1414</v>
      </c>
      <c r="N590" t="s">
        <v>1425</v>
      </c>
      <c r="O590" t="s">
        <v>1428</v>
      </c>
      <c r="P590" t="s">
        <v>1429</v>
      </c>
      <c r="Q590">
        <v>39</v>
      </c>
      <c r="R590" s="2">
        <v>8457780312441</v>
      </c>
      <c r="S590" s="3" t="s">
        <v>1175</v>
      </c>
      <c r="T590" t="s">
        <v>1365</v>
      </c>
      <c r="U590" t="s">
        <v>1366</v>
      </c>
    </row>
    <row r="591" spans="1:21" x14ac:dyDescent="0.25">
      <c r="A591" t="s">
        <v>532</v>
      </c>
      <c r="B591" t="s">
        <v>2258</v>
      </c>
      <c r="C591" t="s">
        <v>538</v>
      </c>
      <c r="D591" t="s">
        <v>1883</v>
      </c>
      <c r="E591" t="str">
        <f>+CONCATENATE(D591,". FABRICADO EN ",M591,". PUNTERA DE ",N591,". PLANTILLA ",O591,". SUELA DE ",P591)</f>
        <v>ZAPATO S3+CI+SRC+ESD Azul 40. FABRICADO EN TEXTIL S3. PUNTERA DE Fibra de vidrio. PLANTILLA Antiperforación textil. SUELA DE PU/PU DOBLE DENSIDAD</v>
      </c>
      <c r="F591" t="str">
        <f>PROPER(E591)</f>
        <v>Zapato S3+Ci+Src+Esd Azul 40. Fabricado En Textil S3. Puntera De Fibra De Vidrio. Plantilla Antiperforación Textil. Suela De Pu/Pu Doble Densidad</v>
      </c>
      <c r="G591" s="24">
        <f>VLOOKUP(B591,Tabla1[],2,0)</f>
        <v>24.9</v>
      </c>
      <c r="H591" s="24">
        <f>+G591/0.72</f>
        <v>34.583333333333336</v>
      </c>
      <c r="I591" s="24">
        <f>+H591*1.21</f>
        <v>41.845833333333331</v>
      </c>
      <c r="J591" s="24" t="s">
        <v>2359</v>
      </c>
      <c r="K591" s="24" t="s">
        <v>2365</v>
      </c>
      <c r="L591" t="s">
        <v>1392</v>
      </c>
      <c r="M591" t="s">
        <v>1414</v>
      </c>
      <c r="N591" t="s">
        <v>1425</v>
      </c>
      <c r="O591" t="s">
        <v>1428</v>
      </c>
      <c r="P591" t="s">
        <v>1429</v>
      </c>
      <c r="Q591">
        <v>40</v>
      </c>
      <c r="R591" s="2">
        <v>8457780312458</v>
      </c>
      <c r="S591" s="3" t="s">
        <v>1176</v>
      </c>
      <c r="T591" t="s">
        <v>1365</v>
      </c>
      <c r="U591" t="s">
        <v>1366</v>
      </c>
    </row>
    <row r="592" spans="1:21" x14ac:dyDescent="0.25">
      <c r="A592" t="s">
        <v>532</v>
      </c>
      <c r="B592" t="s">
        <v>2258</v>
      </c>
      <c r="C592" t="s">
        <v>539</v>
      </c>
      <c r="D592" t="s">
        <v>1884</v>
      </c>
      <c r="E592" t="str">
        <f>+CONCATENATE(D592,". FABRICADO EN ",M592,". PUNTERA DE ",N592,". PLANTILLA ",O592,". SUELA DE ",P592)</f>
        <v>ZAPATO S3+CI+SRC+ESD Azul 41. FABRICADO EN TEXTIL S3. PUNTERA DE Fibra de vidrio. PLANTILLA Antiperforación textil. SUELA DE PU/PU DOBLE DENSIDAD</v>
      </c>
      <c r="F592" t="str">
        <f>PROPER(E592)</f>
        <v>Zapato S3+Ci+Src+Esd Azul 41. Fabricado En Textil S3. Puntera De Fibra De Vidrio. Plantilla Antiperforación Textil. Suela De Pu/Pu Doble Densidad</v>
      </c>
      <c r="G592" s="24">
        <f>VLOOKUP(B592,Tabla1[],2,0)</f>
        <v>24.9</v>
      </c>
      <c r="H592" s="24">
        <f>+G592/0.72</f>
        <v>34.583333333333336</v>
      </c>
      <c r="I592" s="24">
        <f>+H592*1.21</f>
        <v>41.845833333333331</v>
      </c>
      <c r="J592" s="24" t="s">
        <v>2359</v>
      </c>
      <c r="K592" s="24" t="s">
        <v>2365</v>
      </c>
      <c r="L592" t="s">
        <v>1392</v>
      </c>
      <c r="M592" t="s">
        <v>1414</v>
      </c>
      <c r="N592" t="s">
        <v>1425</v>
      </c>
      <c r="O592" t="s">
        <v>1428</v>
      </c>
      <c r="P592" t="s">
        <v>1429</v>
      </c>
      <c r="Q592">
        <v>41</v>
      </c>
      <c r="R592" s="2">
        <v>8457780312465</v>
      </c>
      <c r="S592" s="3" t="s">
        <v>1177</v>
      </c>
      <c r="T592" s="1" t="s">
        <v>1365</v>
      </c>
      <c r="U592" t="s">
        <v>1366</v>
      </c>
    </row>
    <row r="593" spans="1:21" x14ac:dyDescent="0.25">
      <c r="A593" t="s">
        <v>532</v>
      </c>
      <c r="B593" t="s">
        <v>2258</v>
      </c>
      <c r="C593" t="s">
        <v>540</v>
      </c>
      <c r="D593" t="s">
        <v>1885</v>
      </c>
      <c r="E593" t="str">
        <f>+CONCATENATE(D593,". FABRICADO EN ",M593,". PUNTERA DE ",N593,". PLANTILLA ",O593,". SUELA DE ",P593)</f>
        <v>ZAPATO S3+CI+SRC+ESD Azul 42. FABRICADO EN TEXTIL S3. PUNTERA DE Fibra de vidrio. PLANTILLA Antiperforación textil. SUELA DE PU/PU DOBLE DENSIDAD</v>
      </c>
      <c r="F593" t="str">
        <f>PROPER(E593)</f>
        <v>Zapato S3+Ci+Src+Esd Azul 42. Fabricado En Textil S3. Puntera De Fibra De Vidrio. Plantilla Antiperforación Textil. Suela De Pu/Pu Doble Densidad</v>
      </c>
      <c r="G593" s="24">
        <f>VLOOKUP(B593,Tabla1[],2,0)</f>
        <v>24.9</v>
      </c>
      <c r="H593" s="24">
        <f>+G593/0.72</f>
        <v>34.583333333333336</v>
      </c>
      <c r="I593" s="24">
        <f>+H593*1.21</f>
        <v>41.845833333333331</v>
      </c>
      <c r="J593" s="24" t="s">
        <v>2359</v>
      </c>
      <c r="K593" s="24" t="s">
        <v>2365</v>
      </c>
      <c r="L593" t="s">
        <v>1392</v>
      </c>
      <c r="M593" t="s">
        <v>1414</v>
      </c>
      <c r="N593" t="s">
        <v>1425</v>
      </c>
      <c r="O593" t="s">
        <v>1428</v>
      </c>
      <c r="P593" t="s">
        <v>1429</v>
      </c>
      <c r="Q593">
        <v>42</v>
      </c>
      <c r="R593" s="2">
        <v>8457780312472</v>
      </c>
      <c r="S593" s="3" t="s">
        <v>1178</v>
      </c>
      <c r="T593" t="s">
        <v>1365</v>
      </c>
      <c r="U593" t="s">
        <v>1366</v>
      </c>
    </row>
    <row r="594" spans="1:21" x14ac:dyDescent="0.25">
      <c r="A594" t="s">
        <v>532</v>
      </c>
      <c r="B594" t="s">
        <v>2258</v>
      </c>
      <c r="C594" t="s">
        <v>541</v>
      </c>
      <c r="D594" t="s">
        <v>1886</v>
      </c>
      <c r="E594" t="str">
        <f>+CONCATENATE(D594,". FABRICADO EN ",M594,". PUNTERA DE ",N594,". PLANTILLA ",O594,". SUELA DE ",P594)</f>
        <v>ZAPATO S3+CI+SRC+ESD Azul 43. FABRICADO EN TEXTIL S3. PUNTERA DE Fibra de vidrio. PLANTILLA Antiperforación textil. SUELA DE PU/PU DOBLE DENSIDAD</v>
      </c>
      <c r="F594" t="str">
        <f>PROPER(E594)</f>
        <v>Zapato S3+Ci+Src+Esd Azul 43. Fabricado En Textil S3. Puntera De Fibra De Vidrio. Plantilla Antiperforación Textil. Suela De Pu/Pu Doble Densidad</v>
      </c>
      <c r="G594" s="24">
        <f>VLOOKUP(B594,Tabla1[],2,0)</f>
        <v>24.9</v>
      </c>
      <c r="H594" s="24">
        <f>+G594/0.72</f>
        <v>34.583333333333336</v>
      </c>
      <c r="I594" s="24">
        <f>+H594*1.21</f>
        <v>41.845833333333331</v>
      </c>
      <c r="J594" s="24" t="s">
        <v>2359</v>
      </c>
      <c r="K594" s="24" t="s">
        <v>2365</v>
      </c>
      <c r="L594" t="s">
        <v>1392</v>
      </c>
      <c r="M594" t="s">
        <v>1414</v>
      </c>
      <c r="N594" t="s">
        <v>1425</v>
      </c>
      <c r="O594" t="s">
        <v>1428</v>
      </c>
      <c r="P594" t="s">
        <v>1429</v>
      </c>
      <c r="Q594">
        <v>43</v>
      </c>
      <c r="R594" s="2">
        <v>8457780312489</v>
      </c>
      <c r="S594" s="3" t="s">
        <v>1179</v>
      </c>
      <c r="T594" t="s">
        <v>1365</v>
      </c>
      <c r="U594" t="s">
        <v>1366</v>
      </c>
    </row>
    <row r="595" spans="1:21" x14ac:dyDescent="0.25">
      <c r="A595" t="s">
        <v>532</v>
      </c>
      <c r="B595" t="s">
        <v>2258</v>
      </c>
      <c r="C595" t="s">
        <v>542</v>
      </c>
      <c r="D595" t="s">
        <v>1887</v>
      </c>
      <c r="E595" t="str">
        <f>+CONCATENATE(D595,". FABRICADO EN ",M595,". PUNTERA DE ",N595,". PLANTILLA ",O595,". SUELA DE ",P595)</f>
        <v>ZAPATO S3+CI+SRC+ESD Azul 44. FABRICADO EN TEXTIL S3. PUNTERA DE Fibra de vidrio. PLANTILLA Antiperforación textil. SUELA DE PU/PU DOBLE DENSIDAD</v>
      </c>
      <c r="F595" t="str">
        <f>PROPER(E595)</f>
        <v>Zapato S3+Ci+Src+Esd Azul 44. Fabricado En Textil S3. Puntera De Fibra De Vidrio. Plantilla Antiperforación Textil. Suela De Pu/Pu Doble Densidad</v>
      </c>
      <c r="G595" s="24">
        <f>VLOOKUP(B595,Tabla1[],2,0)</f>
        <v>24.9</v>
      </c>
      <c r="H595" s="24">
        <f>+G595/0.72</f>
        <v>34.583333333333336</v>
      </c>
      <c r="I595" s="24">
        <f>+H595*1.21</f>
        <v>41.845833333333331</v>
      </c>
      <c r="J595" s="24" t="s">
        <v>2359</v>
      </c>
      <c r="K595" s="24" t="s">
        <v>2365</v>
      </c>
      <c r="L595" t="s">
        <v>1392</v>
      </c>
      <c r="M595" t="s">
        <v>1414</v>
      </c>
      <c r="N595" t="s">
        <v>1425</v>
      </c>
      <c r="O595" t="s">
        <v>1428</v>
      </c>
      <c r="P595" t="s">
        <v>1429</v>
      </c>
      <c r="Q595">
        <v>44</v>
      </c>
      <c r="R595" s="2">
        <v>8457780312496</v>
      </c>
      <c r="S595" s="3" t="s">
        <v>1180</v>
      </c>
      <c r="T595" t="s">
        <v>1365</v>
      </c>
      <c r="U595" t="s">
        <v>1366</v>
      </c>
    </row>
    <row r="596" spans="1:21" x14ac:dyDescent="0.25">
      <c r="A596" t="s">
        <v>532</v>
      </c>
      <c r="B596" t="s">
        <v>2258</v>
      </c>
      <c r="C596" t="s">
        <v>543</v>
      </c>
      <c r="D596" t="s">
        <v>1888</v>
      </c>
      <c r="E596" t="str">
        <f>+CONCATENATE(D596,". FABRICADO EN ",M596,". PUNTERA DE ",N596,". PLANTILLA ",O596,". SUELA DE ",P596)</f>
        <v>ZAPATO S3+CI+SRC+ESD Azul 45. FABRICADO EN TEXTIL S3. PUNTERA DE Fibra de vidrio. PLANTILLA Antiperforación textil. SUELA DE PU/PU DOBLE DENSIDAD</v>
      </c>
      <c r="F596" t="str">
        <f>PROPER(E596)</f>
        <v>Zapato S3+Ci+Src+Esd Azul 45. Fabricado En Textil S3. Puntera De Fibra De Vidrio. Plantilla Antiperforación Textil. Suela De Pu/Pu Doble Densidad</v>
      </c>
      <c r="G596" s="24">
        <f>VLOOKUP(B596,Tabla1[],2,0)</f>
        <v>24.9</v>
      </c>
      <c r="H596" s="24">
        <f>+G596/0.72</f>
        <v>34.583333333333336</v>
      </c>
      <c r="I596" s="24">
        <f>+H596*1.21</f>
        <v>41.845833333333331</v>
      </c>
      <c r="J596" s="24" t="s">
        <v>2359</v>
      </c>
      <c r="K596" s="24" t="s">
        <v>2365</v>
      </c>
      <c r="L596" t="s">
        <v>1392</v>
      </c>
      <c r="M596" t="s">
        <v>1414</v>
      </c>
      <c r="N596" t="s">
        <v>1425</v>
      </c>
      <c r="O596" t="s">
        <v>1428</v>
      </c>
      <c r="P596" t="s">
        <v>1429</v>
      </c>
      <c r="Q596">
        <v>45</v>
      </c>
      <c r="R596" s="2">
        <v>8457780312502</v>
      </c>
      <c r="S596" s="3" t="s">
        <v>1181</v>
      </c>
      <c r="T596" t="s">
        <v>1365</v>
      </c>
      <c r="U596" t="s">
        <v>1366</v>
      </c>
    </row>
    <row r="597" spans="1:21" x14ac:dyDescent="0.25">
      <c r="A597" t="s">
        <v>532</v>
      </c>
      <c r="B597" t="s">
        <v>2258</v>
      </c>
      <c r="C597" t="s">
        <v>544</v>
      </c>
      <c r="D597" t="s">
        <v>1889</v>
      </c>
      <c r="E597" t="str">
        <f>+CONCATENATE(D597,". FABRICADO EN ",M597,". PUNTERA DE ",N597,". PLANTILLA ",O597,". SUELA DE ",P597)</f>
        <v>ZAPATO S3+CI+SRC+ESD Azul 46. FABRICADO EN TEXTIL S3. PUNTERA DE Fibra de vidrio. PLANTILLA Antiperforación textil. SUELA DE PU/PU DOBLE DENSIDAD</v>
      </c>
      <c r="F597" t="str">
        <f>PROPER(E597)</f>
        <v>Zapato S3+Ci+Src+Esd Azul 46. Fabricado En Textil S3. Puntera De Fibra De Vidrio. Plantilla Antiperforación Textil. Suela De Pu/Pu Doble Densidad</v>
      </c>
      <c r="G597" s="24">
        <f>VLOOKUP(B597,Tabla1[],2,0)</f>
        <v>24.9</v>
      </c>
      <c r="H597" s="24">
        <f>+G597/0.72</f>
        <v>34.583333333333336</v>
      </c>
      <c r="I597" s="24">
        <f>+H597*1.21</f>
        <v>41.845833333333331</v>
      </c>
      <c r="J597" s="24" t="s">
        <v>2359</v>
      </c>
      <c r="K597" s="24" t="s">
        <v>2365</v>
      </c>
      <c r="L597" t="s">
        <v>1392</v>
      </c>
      <c r="M597" t="s">
        <v>1414</v>
      </c>
      <c r="N597" t="s">
        <v>1425</v>
      </c>
      <c r="O597" t="s">
        <v>1428</v>
      </c>
      <c r="P597" t="s">
        <v>1429</v>
      </c>
      <c r="Q597">
        <v>46</v>
      </c>
      <c r="R597" s="2">
        <v>8457780312519</v>
      </c>
      <c r="S597" s="3" t="s">
        <v>1182</v>
      </c>
      <c r="T597" t="s">
        <v>1365</v>
      </c>
      <c r="U597" t="s">
        <v>1366</v>
      </c>
    </row>
    <row r="598" spans="1:21" x14ac:dyDescent="0.25">
      <c r="A598" t="s">
        <v>532</v>
      </c>
      <c r="B598" t="s">
        <v>2258</v>
      </c>
      <c r="C598" t="s">
        <v>545</v>
      </c>
      <c r="D598" t="s">
        <v>1890</v>
      </c>
      <c r="E598" t="str">
        <f>+CONCATENATE(D598,". FABRICADO EN ",M598,". PUNTERA DE ",N598,". PLANTILLA ",O598,". SUELA DE ",P598)</f>
        <v>ZAPATO S3+CI+SRC+ESD Azul 47. FABRICADO EN TEXTIL S3. PUNTERA DE Fibra de vidrio. PLANTILLA Antiperforación textil. SUELA DE PU/PU DOBLE DENSIDAD</v>
      </c>
      <c r="F598" t="str">
        <f>PROPER(E598)</f>
        <v>Zapato S3+Ci+Src+Esd Azul 47. Fabricado En Textil S3. Puntera De Fibra De Vidrio. Plantilla Antiperforación Textil. Suela De Pu/Pu Doble Densidad</v>
      </c>
      <c r="G598" s="24">
        <f>VLOOKUP(B598,Tabla1[],2,0)</f>
        <v>24.9</v>
      </c>
      <c r="H598" s="24">
        <f>+G598/0.72</f>
        <v>34.583333333333336</v>
      </c>
      <c r="I598" s="24">
        <f>+H598*1.21</f>
        <v>41.845833333333331</v>
      </c>
      <c r="J598" s="24" t="s">
        <v>2359</v>
      </c>
      <c r="K598" s="24" t="s">
        <v>2365</v>
      </c>
      <c r="L598" t="s">
        <v>1392</v>
      </c>
      <c r="M598" t="s">
        <v>1414</v>
      </c>
      <c r="N598" t="s">
        <v>1425</v>
      </c>
      <c r="O598" t="s">
        <v>1428</v>
      </c>
      <c r="P598" t="s">
        <v>1429</v>
      </c>
      <c r="Q598">
        <v>47</v>
      </c>
      <c r="R598" s="2">
        <v>8457780312526</v>
      </c>
      <c r="S598" s="3" t="s">
        <v>1183</v>
      </c>
      <c r="T598" t="s">
        <v>1365</v>
      </c>
      <c r="U598" t="s">
        <v>1366</v>
      </c>
    </row>
    <row r="599" spans="1:21" x14ac:dyDescent="0.25">
      <c r="A599" t="s">
        <v>532</v>
      </c>
      <c r="B599" t="s">
        <v>2258</v>
      </c>
      <c r="C599" t="s">
        <v>546</v>
      </c>
      <c r="D599" t="s">
        <v>1891</v>
      </c>
      <c r="E599" t="str">
        <f>+CONCATENATE(D599,". FABRICADO EN ",M599,". PUNTERA DE ",N599,". PLANTILLA ",O599,". SUELA DE ",P599)</f>
        <v>ZAPATO S3+CI+SRC+ESD Azul 48. FABRICADO EN TEXTIL S3. PUNTERA DE Fibra de vidrio. PLANTILLA Antiperforación textil. SUELA DE PU/PU DOBLE DENSIDAD</v>
      </c>
      <c r="F599" t="str">
        <f>PROPER(E599)</f>
        <v>Zapato S3+Ci+Src+Esd Azul 48. Fabricado En Textil S3. Puntera De Fibra De Vidrio. Plantilla Antiperforación Textil. Suela De Pu/Pu Doble Densidad</v>
      </c>
      <c r="G599" s="24">
        <f>VLOOKUP(B599,Tabla1[],2,0)</f>
        <v>24.9</v>
      </c>
      <c r="H599" s="24">
        <f>+G599/0.72</f>
        <v>34.583333333333336</v>
      </c>
      <c r="I599" s="24">
        <f>+H599*1.21</f>
        <v>41.845833333333331</v>
      </c>
      <c r="J599" s="24" t="s">
        <v>2359</v>
      </c>
      <c r="K599" s="24" t="s">
        <v>2365</v>
      </c>
      <c r="L599" t="s">
        <v>1392</v>
      </c>
      <c r="M599" t="s">
        <v>1414</v>
      </c>
      <c r="N599" t="s">
        <v>1425</v>
      </c>
      <c r="O599" t="s">
        <v>1428</v>
      </c>
      <c r="P599" t="s">
        <v>1429</v>
      </c>
      <c r="Q599">
        <v>48</v>
      </c>
      <c r="R599" s="2">
        <v>8457780312533</v>
      </c>
      <c r="S599" s="3" t="s">
        <v>1184</v>
      </c>
      <c r="T599" t="s">
        <v>1365</v>
      </c>
      <c r="U599" t="s">
        <v>1366</v>
      </c>
    </row>
    <row r="600" spans="1:21" x14ac:dyDescent="0.25">
      <c r="A600" t="s">
        <v>547</v>
      </c>
      <c r="B600" t="s">
        <v>2259</v>
      </c>
      <c r="C600" t="s">
        <v>548</v>
      </c>
      <c r="D600" t="s">
        <v>1892</v>
      </c>
      <c r="E600" t="str">
        <f>+CONCATENATE(D600,". FABRICADO EN ",M600,". PUNTERA DE ",N600,". PLANTILLA ",O600,". SUELA DE ",P600)</f>
        <v>BOTA PIEL S7S+CI+HI+HRO+FO+SR+ESD Negro 35. FABRICADO EN PIEL NOBUCK. PUNTERA DE Fibra de vidrio. PLANTILLA Antiperforación textil. SUELA DE EVA/CAUCHO-NITRILO</v>
      </c>
      <c r="F600" t="str">
        <f>PROPER(E600)</f>
        <v>Bota Piel S7S+Ci+Hi+Hro+Fo+Sr+Esd Negro 35. Fabricado En Piel Nobuck. Puntera De Fibra De Vidrio. Plantilla Antiperforación Textil. Suela De Eva/Caucho-Nitrilo</v>
      </c>
      <c r="G600" s="24">
        <f>VLOOKUP(B600,Tabla1[],2,0)</f>
        <v>42</v>
      </c>
      <c r="H600" s="24">
        <f>+G600/0.72</f>
        <v>58.333333333333336</v>
      </c>
      <c r="I600" s="24">
        <f>+H600*1.21</f>
        <v>70.583333333333329</v>
      </c>
      <c r="J600" s="24" t="s">
        <v>2326</v>
      </c>
      <c r="K600" s="24" t="s">
        <v>2367</v>
      </c>
      <c r="L600" t="s">
        <v>1392</v>
      </c>
      <c r="M600" t="s">
        <v>1413</v>
      </c>
      <c r="N600" t="s">
        <v>1425</v>
      </c>
      <c r="O600" t="s">
        <v>1428</v>
      </c>
      <c r="P600" t="s">
        <v>1431</v>
      </c>
      <c r="Q600">
        <v>35</v>
      </c>
      <c r="R600" s="2">
        <v>8457780312960</v>
      </c>
      <c r="S600" s="3" t="s">
        <v>1185</v>
      </c>
      <c r="T600" t="s">
        <v>1385</v>
      </c>
      <c r="U600" t="s">
        <v>1386</v>
      </c>
    </row>
    <row r="601" spans="1:21" x14ac:dyDescent="0.25">
      <c r="A601" t="s">
        <v>547</v>
      </c>
      <c r="B601" t="s">
        <v>2259</v>
      </c>
      <c r="C601" t="s">
        <v>549</v>
      </c>
      <c r="D601" t="s">
        <v>1893</v>
      </c>
      <c r="E601" t="str">
        <f>+CONCATENATE(D601,". FABRICADO EN ",M601,". PUNTERA DE ",N601,". PLANTILLA ",O601,". SUELA DE ",P601)</f>
        <v>BOTA PIEL S7S+CI+HI+HRO+FO+SR+ESD Negro 36. FABRICADO EN PIEL NOBUCK. PUNTERA DE Fibra de vidrio. PLANTILLA Antiperforación textil. SUELA DE EVA/CAUCHO-NITRILO</v>
      </c>
      <c r="F601" t="str">
        <f>PROPER(E601)</f>
        <v>Bota Piel S7S+Ci+Hi+Hro+Fo+Sr+Esd Negro 36. Fabricado En Piel Nobuck. Puntera De Fibra De Vidrio. Plantilla Antiperforación Textil. Suela De Eva/Caucho-Nitrilo</v>
      </c>
      <c r="G601" s="24">
        <f>VLOOKUP(B601,Tabla1[],2,0)</f>
        <v>42</v>
      </c>
      <c r="H601" s="24">
        <f>+G601/0.72</f>
        <v>58.333333333333336</v>
      </c>
      <c r="I601" s="24">
        <f>+H601*1.21</f>
        <v>70.583333333333329</v>
      </c>
      <c r="J601" s="24" t="s">
        <v>2326</v>
      </c>
      <c r="K601" s="24" t="s">
        <v>2367</v>
      </c>
      <c r="L601" t="s">
        <v>1392</v>
      </c>
      <c r="M601" t="s">
        <v>1413</v>
      </c>
      <c r="N601" t="s">
        <v>1425</v>
      </c>
      <c r="O601" t="s">
        <v>1428</v>
      </c>
      <c r="P601" t="s">
        <v>1431</v>
      </c>
      <c r="Q601">
        <v>36</v>
      </c>
      <c r="R601" s="2">
        <v>8457780312977</v>
      </c>
      <c r="S601" s="3" t="s">
        <v>1186</v>
      </c>
      <c r="T601" t="s">
        <v>1385</v>
      </c>
      <c r="U601" t="s">
        <v>1386</v>
      </c>
    </row>
    <row r="602" spans="1:21" x14ac:dyDescent="0.25">
      <c r="A602" t="s">
        <v>547</v>
      </c>
      <c r="B602" t="s">
        <v>2259</v>
      </c>
      <c r="C602" t="s">
        <v>550</v>
      </c>
      <c r="D602" t="s">
        <v>1894</v>
      </c>
      <c r="E602" t="str">
        <f>+CONCATENATE(D602,". FABRICADO EN ",M602,". PUNTERA DE ",N602,". PLANTILLA ",O602,". SUELA DE ",P602)</f>
        <v>BOTA PIEL S7S+CI+HI+HRO+FO+SR+ESD Negro 37. FABRICADO EN PIEL NOBUCK. PUNTERA DE Fibra de vidrio. PLANTILLA Antiperforación textil. SUELA DE EVA/CAUCHO-NITRILO</v>
      </c>
      <c r="F602" t="str">
        <f>PROPER(E602)</f>
        <v>Bota Piel S7S+Ci+Hi+Hro+Fo+Sr+Esd Negro 37. Fabricado En Piel Nobuck. Puntera De Fibra De Vidrio. Plantilla Antiperforación Textil. Suela De Eva/Caucho-Nitrilo</v>
      </c>
      <c r="G602" s="24">
        <f>VLOOKUP(B602,Tabla1[],2,0)</f>
        <v>42</v>
      </c>
      <c r="H602" s="24">
        <f>+G602/0.72</f>
        <v>58.333333333333336</v>
      </c>
      <c r="I602" s="24">
        <f>+H602*1.21</f>
        <v>70.583333333333329</v>
      </c>
      <c r="J602" s="24" t="s">
        <v>2326</v>
      </c>
      <c r="K602" s="24" t="s">
        <v>2367</v>
      </c>
      <c r="L602" t="s">
        <v>1392</v>
      </c>
      <c r="M602" t="s">
        <v>1413</v>
      </c>
      <c r="N602" t="s">
        <v>1425</v>
      </c>
      <c r="O602" t="s">
        <v>1428</v>
      </c>
      <c r="P602" t="s">
        <v>1431</v>
      </c>
      <c r="Q602">
        <v>37</v>
      </c>
      <c r="R602" s="2">
        <v>8457780312984</v>
      </c>
      <c r="S602" s="3" t="s">
        <v>1187</v>
      </c>
      <c r="T602" t="s">
        <v>1385</v>
      </c>
      <c r="U602" t="s">
        <v>1386</v>
      </c>
    </row>
    <row r="603" spans="1:21" x14ac:dyDescent="0.25">
      <c r="A603" t="s">
        <v>547</v>
      </c>
      <c r="B603" t="s">
        <v>2259</v>
      </c>
      <c r="C603" t="s">
        <v>551</v>
      </c>
      <c r="D603" t="s">
        <v>1895</v>
      </c>
      <c r="E603" t="str">
        <f>+CONCATENATE(D603,". FABRICADO EN ",M603,". PUNTERA DE ",N603,". PLANTILLA ",O603,". SUELA DE ",P603)</f>
        <v>BOTA PIEL S7S+CI+HI+HRO+FO+SR+ESD Negro 38. FABRICADO EN PIEL NOBUCK. PUNTERA DE Fibra de vidrio. PLANTILLA Antiperforación textil. SUELA DE EVA/CAUCHO-NITRILO</v>
      </c>
      <c r="F603" t="str">
        <f>PROPER(E603)</f>
        <v>Bota Piel S7S+Ci+Hi+Hro+Fo+Sr+Esd Negro 38. Fabricado En Piel Nobuck. Puntera De Fibra De Vidrio. Plantilla Antiperforación Textil. Suela De Eva/Caucho-Nitrilo</v>
      </c>
      <c r="G603" s="24">
        <f>VLOOKUP(B603,Tabla1[],2,0)</f>
        <v>42</v>
      </c>
      <c r="H603" s="24">
        <f>+G603/0.72</f>
        <v>58.333333333333336</v>
      </c>
      <c r="I603" s="24">
        <f>+H603*1.21</f>
        <v>70.583333333333329</v>
      </c>
      <c r="J603" s="24" t="s">
        <v>2326</v>
      </c>
      <c r="K603" s="24" t="s">
        <v>2367</v>
      </c>
      <c r="L603" t="s">
        <v>1392</v>
      </c>
      <c r="M603" t="s">
        <v>1413</v>
      </c>
      <c r="N603" t="s">
        <v>1425</v>
      </c>
      <c r="O603" t="s">
        <v>1428</v>
      </c>
      <c r="P603" t="s">
        <v>1431</v>
      </c>
      <c r="Q603">
        <v>38</v>
      </c>
      <c r="R603" s="2">
        <v>8457780312991</v>
      </c>
      <c r="S603" s="3" t="s">
        <v>1188</v>
      </c>
      <c r="T603" t="s">
        <v>1385</v>
      </c>
      <c r="U603" t="s">
        <v>1386</v>
      </c>
    </row>
    <row r="604" spans="1:21" x14ac:dyDescent="0.25">
      <c r="A604" t="s">
        <v>547</v>
      </c>
      <c r="B604" t="s">
        <v>2259</v>
      </c>
      <c r="C604" t="s">
        <v>552</v>
      </c>
      <c r="D604" t="s">
        <v>1896</v>
      </c>
      <c r="E604" t="str">
        <f>+CONCATENATE(D604,". FABRICADO EN ",M604,". PUNTERA DE ",N604,". PLANTILLA ",O604,". SUELA DE ",P604)</f>
        <v>BOTA PIEL S7S+CI+HI+HRO+FO+SR+ESD Negro 39. FABRICADO EN PIEL NOBUCK. PUNTERA DE Fibra de vidrio. PLANTILLA Antiperforación textil. SUELA DE EVA/CAUCHO-NITRILO</v>
      </c>
      <c r="F604" t="str">
        <f>PROPER(E604)</f>
        <v>Bota Piel S7S+Ci+Hi+Hro+Fo+Sr+Esd Negro 39. Fabricado En Piel Nobuck. Puntera De Fibra De Vidrio. Plantilla Antiperforación Textil. Suela De Eva/Caucho-Nitrilo</v>
      </c>
      <c r="G604" s="24">
        <f>VLOOKUP(B604,Tabla1[],2,0)</f>
        <v>42</v>
      </c>
      <c r="H604" s="24">
        <f>+G604/0.72</f>
        <v>58.333333333333336</v>
      </c>
      <c r="I604" s="24">
        <f>+H604*1.21</f>
        <v>70.583333333333329</v>
      </c>
      <c r="J604" s="24" t="s">
        <v>2326</v>
      </c>
      <c r="K604" s="24" t="s">
        <v>2367</v>
      </c>
      <c r="L604" t="s">
        <v>1392</v>
      </c>
      <c r="M604" t="s">
        <v>1413</v>
      </c>
      <c r="N604" t="s">
        <v>1425</v>
      </c>
      <c r="O604" t="s">
        <v>1428</v>
      </c>
      <c r="P604" t="s">
        <v>1431</v>
      </c>
      <c r="Q604">
        <v>39</v>
      </c>
      <c r="R604" s="2">
        <v>8457780336119</v>
      </c>
      <c r="S604" s="3" t="s">
        <v>1198</v>
      </c>
      <c r="T604" t="s">
        <v>1385</v>
      </c>
      <c r="U604" t="s">
        <v>1386</v>
      </c>
    </row>
    <row r="605" spans="1:21" x14ac:dyDescent="0.25">
      <c r="A605" t="s">
        <v>547</v>
      </c>
      <c r="B605" t="s">
        <v>2259</v>
      </c>
      <c r="C605" t="s">
        <v>553</v>
      </c>
      <c r="D605" t="s">
        <v>1897</v>
      </c>
      <c r="E605" t="str">
        <f>+CONCATENATE(D605,". FABRICADO EN ",M605,". PUNTERA DE ",N605,". PLANTILLA ",O605,". SUELA DE ",P605)</f>
        <v>BOTA PIEL S7S+CI+HI+HRO+FO+SR+ESD Negro 40. FABRICADO EN PIEL NOBUCK. PUNTERA DE Fibra de vidrio. PLANTILLA Antiperforación textil. SUELA DE EVA/CAUCHO-NITRILO</v>
      </c>
      <c r="F605" t="str">
        <f>PROPER(E605)</f>
        <v>Bota Piel S7S+Ci+Hi+Hro+Fo+Sr+Esd Negro 40. Fabricado En Piel Nobuck. Puntera De Fibra De Vidrio. Plantilla Antiperforación Textil. Suela De Eva/Caucho-Nitrilo</v>
      </c>
      <c r="G605" s="24">
        <f>VLOOKUP(B605,Tabla1[],2,0)</f>
        <v>42</v>
      </c>
      <c r="H605" s="24">
        <f>+G605/0.72</f>
        <v>58.333333333333336</v>
      </c>
      <c r="I605" s="24">
        <f>+H605*1.21</f>
        <v>70.583333333333329</v>
      </c>
      <c r="J605" s="24" t="s">
        <v>2326</v>
      </c>
      <c r="K605" s="24" t="s">
        <v>2367</v>
      </c>
      <c r="L605" t="s">
        <v>1392</v>
      </c>
      <c r="M605" t="s">
        <v>1413</v>
      </c>
      <c r="N605" t="s">
        <v>1425</v>
      </c>
      <c r="O605" t="s">
        <v>1428</v>
      </c>
      <c r="P605" t="s">
        <v>1431</v>
      </c>
      <c r="Q605">
        <v>40</v>
      </c>
      <c r="R605" s="2">
        <v>8457780313011</v>
      </c>
      <c r="S605" s="3" t="s">
        <v>1189</v>
      </c>
      <c r="T605" t="s">
        <v>1385</v>
      </c>
      <c r="U605" t="s">
        <v>1386</v>
      </c>
    </row>
    <row r="606" spans="1:21" x14ac:dyDescent="0.25">
      <c r="A606" t="s">
        <v>547</v>
      </c>
      <c r="B606" t="s">
        <v>2259</v>
      </c>
      <c r="C606" t="s">
        <v>554</v>
      </c>
      <c r="D606" t="s">
        <v>1898</v>
      </c>
      <c r="E606" t="str">
        <f>+CONCATENATE(D606,". FABRICADO EN ",M606,". PUNTERA DE ",N606,". PLANTILLA ",O606,". SUELA DE ",P606)</f>
        <v>BOTA PIEL S7S+CI+HI+HRO+FO+SR+ESD Negro 41. FABRICADO EN PIEL NOBUCK. PUNTERA DE Fibra de vidrio. PLANTILLA Antiperforación textil. SUELA DE EVA/CAUCHO-NITRILO</v>
      </c>
      <c r="F606" t="str">
        <f>PROPER(E606)</f>
        <v>Bota Piel S7S+Ci+Hi+Hro+Fo+Sr+Esd Negro 41. Fabricado En Piel Nobuck. Puntera De Fibra De Vidrio. Plantilla Antiperforación Textil. Suela De Eva/Caucho-Nitrilo</v>
      </c>
      <c r="G606" s="24">
        <f>VLOOKUP(B606,Tabla1[],2,0)</f>
        <v>42</v>
      </c>
      <c r="H606" s="24">
        <f>+G606/0.72</f>
        <v>58.333333333333336</v>
      </c>
      <c r="I606" s="24">
        <f>+H606*1.21</f>
        <v>70.583333333333329</v>
      </c>
      <c r="J606" s="24" t="s">
        <v>2326</v>
      </c>
      <c r="K606" s="24" t="s">
        <v>2367</v>
      </c>
      <c r="L606" t="s">
        <v>1392</v>
      </c>
      <c r="M606" t="s">
        <v>1413</v>
      </c>
      <c r="N606" t="s">
        <v>1425</v>
      </c>
      <c r="O606" t="s">
        <v>1428</v>
      </c>
      <c r="P606" t="s">
        <v>1431</v>
      </c>
      <c r="Q606">
        <v>41</v>
      </c>
      <c r="R606" s="2">
        <v>8457780313028</v>
      </c>
      <c r="S606" s="3" t="s">
        <v>1190</v>
      </c>
      <c r="T606" t="s">
        <v>1385</v>
      </c>
      <c r="U606" t="s">
        <v>1386</v>
      </c>
    </row>
    <row r="607" spans="1:21" x14ac:dyDescent="0.25">
      <c r="A607" t="s">
        <v>547</v>
      </c>
      <c r="B607" t="s">
        <v>2259</v>
      </c>
      <c r="C607" t="s">
        <v>555</v>
      </c>
      <c r="D607" t="s">
        <v>1899</v>
      </c>
      <c r="E607" t="str">
        <f>+CONCATENATE(D607,". FABRICADO EN ",M607,". PUNTERA DE ",N607,". PLANTILLA ",O607,". SUELA DE ",P607)</f>
        <v>BOTA PIEL S7S+CI+HI+HRO+FO+SR+ESD Negro 42. FABRICADO EN PIEL NOBUCK. PUNTERA DE Fibra de vidrio. PLANTILLA Antiperforación textil. SUELA DE EVA/CAUCHO-NITRILO</v>
      </c>
      <c r="F607" t="str">
        <f>PROPER(E607)</f>
        <v>Bota Piel S7S+Ci+Hi+Hro+Fo+Sr+Esd Negro 42. Fabricado En Piel Nobuck. Puntera De Fibra De Vidrio. Plantilla Antiperforación Textil. Suela De Eva/Caucho-Nitrilo</v>
      </c>
      <c r="G607" s="24">
        <f>VLOOKUP(B607,Tabla1[],2,0)</f>
        <v>42</v>
      </c>
      <c r="H607" s="24">
        <f>+G607/0.72</f>
        <v>58.333333333333336</v>
      </c>
      <c r="I607" s="24">
        <f>+H607*1.21</f>
        <v>70.583333333333329</v>
      </c>
      <c r="J607" s="24" t="s">
        <v>2326</v>
      </c>
      <c r="K607" s="24" t="s">
        <v>2367</v>
      </c>
      <c r="L607" t="s">
        <v>1392</v>
      </c>
      <c r="M607" t="s">
        <v>1413</v>
      </c>
      <c r="N607" t="s">
        <v>1425</v>
      </c>
      <c r="O607" t="s">
        <v>1428</v>
      </c>
      <c r="P607" t="s">
        <v>1431</v>
      </c>
      <c r="Q607">
        <v>42</v>
      </c>
      <c r="R607" s="2">
        <v>8457780313035</v>
      </c>
      <c r="S607" s="3" t="s">
        <v>1191</v>
      </c>
      <c r="T607" t="s">
        <v>1385</v>
      </c>
      <c r="U607" t="s">
        <v>1386</v>
      </c>
    </row>
    <row r="608" spans="1:21" x14ac:dyDescent="0.25">
      <c r="A608" t="s">
        <v>547</v>
      </c>
      <c r="B608" t="s">
        <v>2259</v>
      </c>
      <c r="C608" t="s">
        <v>556</v>
      </c>
      <c r="D608" t="s">
        <v>1900</v>
      </c>
      <c r="E608" t="str">
        <f>+CONCATENATE(D608,". FABRICADO EN ",M608,". PUNTERA DE ",N608,". PLANTILLA ",O608,". SUELA DE ",P608)</f>
        <v>BOTA PIEL S7S+CI+HI+HRO+FO+SR+ESD Negro 43. FABRICADO EN PIEL NOBUCK. PUNTERA DE Fibra de vidrio. PLANTILLA Antiperforación textil. SUELA DE EVA/CAUCHO-NITRILO</v>
      </c>
      <c r="F608" t="str">
        <f>PROPER(E608)</f>
        <v>Bota Piel S7S+Ci+Hi+Hro+Fo+Sr+Esd Negro 43. Fabricado En Piel Nobuck. Puntera De Fibra De Vidrio. Plantilla Antiperforación Textil. Suela De Eva/Caucho-Nitrilo</v>
      </c>
      <c r="G608" s="24">
        <f>VLOOKUP(B608,Tabla1[],2,0)</f>
        <v>42</v>
      </c>
      <c r="H608" s="24">
        <f>+G608/0.72</f>
        <v>58.333333333333336</v>
      </c>
      <c r="I608" s="24">
        <f>+H608*1.21</f>
        <v>70.583333333333329</v>
      </c>
      <c r="J608" s="24" t="s">
        <v>2326</v>
      </c>
      <c r="K608" s="24" t="s">
        <v>2367</v>
      </c>
      <c r="L608" t="s">
        <v>1392</v>
      </c>
      <c r="M608" t="s">
        <v>1413</v>
      </c>
      <c r="N608" t="s">
        <v>1425</v>
      </c>
      <c r="O608" t="s">
        <v>1428</v>
      </c>
      <c r="P608" t="s">
        <v>1431</v>
      </c>
      <c r="Q608">
        <v>43</v>
      </c>
      <c r="R608" s="2">
        <v>8457780313042</v>
      </c>
      <c r="S608" s="3" t="s">
        <v>1192</v>
      </c>
      <c r="T608" t="s">
        <v>1385</v>
      </c>
      <c r="U608" t="s">
        <v>1386</v>
      </c>
    </row>
    <row r="609" spans="1:21" x14ac:dyDescent="0.25">
      <c r="A609" t="s">
        <v>547</v>
      </c>
      <c r="B609" t="s">
        <v>2259</v>
      </c>
      <c r="C609" t="s">
        <v>557</v>
      </c>
      <c r="D609" t="s">
        <v>1901</v>
      </c>
      <c r="E609" t="str">
        <f>+CONCATENATE(D609,". FABRICADO EN ",M609,". PUNTERA DE ",N609,". PLANTILLA ",O609,". SUELA DE ",P609)</f>
        <v>BOTA PIEL S7S+CI+HI+HRO+FO+SR+ESD Negro 44. FABRICADO EN PIEL NOBUCK. PUNTERA DE Fibra de vidrio. PLANTILLA Antiperforación textil. SUELA DE EVA/CAUCHO-NITRILO</v>
      </c>
      <c r="F609" t="str">
        <f>PROPER(E609)</f>
        <v>Bota Piel S7S+Ci+Hi+Hro+Fo+Sr+Esd Negro 44. Fabricado En Piel Nobuck. Puntera De Fibra De Vidrio. Plantilla Antiperforación Textil. Suela De Eva/Caucho-Nitrilo</v>
      </c>
      <c r="G609" s="24">
        <f>VLOOKUP(B609,Tabla1[],2,0)</f>
        <v>42</v>
      </c>
      <c r="H609" s="24">
        <f>+G609/0.72</f>
        <v>58.333333333333336</v>
      </c>
      <c r="I609" s="24">
        <f>+H609*1.21</f>
        <v>70.583333333333329</v>
      </c>
      <c r="J609" s="24" t="s">
        <v>2326</v>
      </c>
      <c r="K609" s="24" t="s">
        <v>2367</v>
      </c>
      <c r="L609" t="s">
        <v>1392</v>
      </c>
      <c r="M609" t="s">
        <v>1413</v>
      </c>
      <c r="N609" t="s">
        <v>1425</v>
      </c>
      <c r="O609" t="s">
        <v>1428</v>
      </c>
      <c r="P609" t="s">
        <v>1431</v>
      </c>
      <c r="Q609">
        <v>44</v>
      </c>
      <c r="R609" s="2">
        <v>8457780313059</v>
      </c>
      <c r="S609" s="3" t="s">
        <v>1193</v>
      </c>
      <c r="T609" t="s">
        <v>1385</v>
      </c>
      <c r="U609" t="s">
        <v>1386</v>
      </c>
    </row>
    <row r="610" spans="1:21" x14ac:dyDescent="0.25">
      <c r="A610" t="s">
        <v>547</v>
      </c>
      <c r="B610" t="s">
        <v>2259</v>
      </c>
      <c r="C610" t="s">
        <v>558</v>
      </c>
      <c r="D610" t="s">
        <v>1902</v>
      </c>
      <c r="E610" t="str">
        <f>+CONCATENATE(D610,". FABRICADO EN ",M610,". PUNTERA DE ",N610,". PLANTILLA ",O610,". SUELA DE ",P610)</f>
        <v>BOTA PIEL S7S+CI+HI+HRO+FO+SR+ESD Negro 45. FABRICADO EN PIEL NOBUCK. PUNTERA DE Fibra de vidrio. PLANTILLA Antiperforación textil. SUELA DE EVA/CAUCHO-NITRILO</v>
      </c>
      <c r="F610" t="str">
        <f>PROPER(E610)</f>
        <v>Bota Piel S7S+Ci+Hi+Hro+Fo+Sr+Esd Negro 45. Fabricado En Piel Nobuck. Puntera De Fibra De Vidrio. Plantilla Antiperforación Textil. Suela De Eva/Caucho-Nitrilo</v>
      </c>
      <c r="G610" s="24">
        <f>VLOOKUP(B610,Tabla1[],2,0)</f>
        <v>42</v>
      </c>
      <c r="H610" s="24">
        <f>+G610/0.72</f>
        <v>58.333333333333336</v>
      </c>
      <c r="I610" s="24">
        <f>+H610*1.21</f>
        <v>70.583333333333329</v>
      </c>
      <c r="J610" s="24" t="s">
        <v>2326</v>
      </c>
      <c r="K610" s="24" t="s">
        <v>2367</v>
      </c>
      <c r="L610" t="s">
        <v>1392</v>
      </c>
      <c r="M610" t="s">
        <v>1413</v>
      </c>
      <c r="N610" t="s">
        <v>1425</v>
      </c>
      <c r="O610" t="s">
        <v>1428</v>
      </c>
      <c r="P610" t="s">
        <v>1431</v>
      </c>
      <c r="Q610">
        <v>45</v>
      </c>
      <c r="R610" s="2">
        <v>8457780313066</v>
      </c>
      <c r="S610" s="3" t="s">
        <v>1194</v>
      </c>
      <c r="T610" t="s">
        <v>1385</v>
      </c>
      <c r="U610" t="s">
        <v>1386</v>
      </c>
    </row>
    <row r="611" spans="1:21" x14ac:dyDescent="0.25">
      <c r="A611" t="s">
        <v>547</v>
      </c>
      <c r="B611" t="s">
        <v>2259</v>
      </c>
      <c r="C611" t="s">
        <v>559</v>
      </c>
      <c r="D611" t="s">
        <v>1903</v>
      </c>
      <c r="E611" t="str">
        <f>+CONCATENATE(D611,". FABRICADO EN ",M611,". PUNTERA DE ",N611,". PLANTILLA ",O611,". SUELA DE ",P611)</f>
        <v>BOTA PIEL S7S+CI+HI+HRO+FO+SR+ESD Negro 46. FABRICADO EN PIEL NOBUCK. PUNTERA DE Fibra de vidrio. PLANTILLA Antiperforación textil. SUELA DE EVA/CAUCHO-NITRILO</v>
      </c>
      <c r="F611" t="str">
        <f>PROPER(E611)</f>
        <v>Bota Piel S7S+Ci+Hi+Hro+Fo+Sr+Esd Negro 46. Fabricado En Piel Nobuck. Puntera De Fibra De Vidrio. Plantilla Antiperforación Textil. Suela De Eva/Caucho-Nitrilo</v>
      </c>
      <c r="G611" s="24">
        <f>VLOOKUP(B611,Tabla1[],2,0)</f>
        <v>42</v>
      </c>
      <c r="H611" s="24">
        <f>+G611/0.72</f>
        <v>58.333333333333336</v>
      </c>
      <c r="I611" s="24">
        <f>+H611*1.21</f>
        <v>70.583333333333329</v>
      </c>
      <c r="J611" s="24" t="s">
        <v>2326</v>
      </c>
      <c r="K611" s="24" t="s">
        <v>2367</v>
      </c>
      <c r="L611" t="s">
        <v>1392</v>
      </c>
      <c r="M611" t="s">
        <v>1413</v>
      </c>
      <c r="N611" t="s">
        <v>1425</v>
      </c>
      <c r="O611" t="s">
        <v>1428</v>
      </c>
      <c r="P611" t="s">
        <v>1431</v>
      </c>
      <c r="Q611">
        <v>46</v>
      </c>
      <c r="R611" s="2">
        <v>8457780313073</v>
      </c>
      <c r="S611" s="3" t="s">
        <v>1195</v>
      </c>
      <c r="T611" t="s">
        <v>1385</v>
      </c>
      <c r="U611" t="s">
        <v>1386</v>
      </c>
    </row>
    <row r="612" spans="1:21" x14ac:dyDescent="0.25">
      <c r="A612" t="s">
        <v>547</v>
      </c>
      <c r="B612" t="s">
        <v>2259</v>
      </c>
      <c r="C612" t="s">
        <v>560</v>
      </c>
      <c r="D612" t="s">
        <v>1904</v>
      </c>
      <c r="E612" t="str">
        <f>+CONCATENATE(D612,". FABRICADO EN ",M612,". PUNTERA DE ",N612,". PLANTILLA ",O612,". SUELA DE ",P612)</f>
        <v>BOTA PIEL S7S+CI+HI+HRO+FO+SR+ESD Negro 47. FABRICADO EN PIEL NOBUCK. PUNTERA DE Fibra de vidrio. PLANTILLA Antiperforación textil. SUELA DE EVA/CAUCHO-NITRILO</v>
      </c>
      <c r="F612" t="str">
        <f>PROPER(E612)</f>
        <v>Bota Piel S7S+Ci+Hi+Hro+Fo+Sr+Esd Negro 47. Fabricado En Piel Nobuck. Puntera De Fibra De Vidrio. Plantilla Antiperforación Textil. Suela De Eva/Caucho-Nitrilo</v>
      </c>
      <c r="G612" s="24">
        <f>VLOOKUP(B612,Tabla1[],2,0)</f>
        <v>42</v>
      </c>
      <c r="H612" s="24">
        <f>+G612/0.72</f>
        <v>58.333333333333336</v>
      </c>
      <c r="I612" s="24">
        <f>+H612*1.21</f>
        <v>70.583333333333329</v>
      </c>
      <c r="J612" s="24" t="s">
        <v>2326</v>
      </c>
      <c r="K612" s="24" t="s">
        <v>2367</v>
      </c>
      <c r="L612" t="s">
        <v>1392</v>
      </c>
      <c r="M612" t="s">
        <v>1413</v>
      </c>
      <c r="N612" t="s">
        <v>1425</v>
      </c>
      <c r="O612" t="s">
        <v>1428</v>
      </c>
      <c r="P612" t="s">
        <v>1431</v>
      </c>
      <c r="Q612">
        <v>47</v>
      </c>
      <c r="R612" s="2">
        <v>8457780313080</v>
      </c>
      <c r="S612" s="3" t="s">
        <v>1196</v>
      </c>
      <c r="T612" t="s">
        <v>1385</v>
      </c>
      <c r="U612" t="s">
        <v>1386</v>
      </c>
    </row>
    <row r="613" spans="1:21" x14ac:dyDescent="0.25">
      <c r="A613" t="s">
        <v>547</v>
      </c>
      <c r="B613" t="s">
        <v>2259</v>
      </c>
      <c r="C613" t="s">
        <v>561</v>
      </c>
      <c r="D613" t="s">
        <v>1905</v>
      </c>
      <c r="E613" t="str">
        <f>+CONCATENATE(D613,". FABRICADO EN ",M613,". PUNTERA DE ",N613,". PLANTILLA ",O613,". SUELA DE ",P613)</f>
        <v>BOTA PIEL S7S+CI+HI+HRO+FO+SR+ESD Negro 48. FABRICADO EN PIEL NOBUCK. PUNTERA DE Fibra de vidrio. PLANTILLA Antiperforación textil. SUELA DE EVA/CAUCHO-NITRILO</v>
      </c>
      <c r="F613" t="str">
        <f>PROPER(E613)</f>
        <v>Bota Piel S7S+Ci+Hi+Hro+Fo+Sr+Esd Negro 48. Fabricado En Piel Nobuck. Puntera De Fibra De Vidrio. Plantilla Antiperforación Textil. Suela De Eva/Caucho-Nitrilo</v>
      </c>
      <c r="G613" s="24">
        <f>VLOOKUP(B613,Tabla1[],2,0)</f>
        <v>42</v>
      </c>
      <c r="H613" s="24">
        <f>+G613/0.72</f>
        <v>58.333333333333336</v>
      </c>
      <c r="I613" s="24">
        <f>+H613*1.21</f>
        <v>70.583333333333329</v>
      </c>
      <c r="J613" s="24" t="s">
        <v>2326</v>
      </c>
      <c r="K613" s="24" t="s">
        <v>2367</v>
      </c>
      <c r="L613" t="s">
        <v>1392</v>
      </c>
      <c r="M613" t="s">
        <v>1413</v>
      </c>
      <c r="N613" t="s">
        <v>1425</v>
      </c>
      <c r="O613" t="s">
        <v>1428</v>
      </c>
      <c r="P613" t="s">
        <v>1431</v>
      </c>
      <c r="Q613">
        <v>48</v>
      </c>
      <c r="R613" s="2">
        <v>8457780313097</v>
      </c>
      <c r="S613" s="3" t="s">
        <v>1197</v>
      </c>
      <c r="T613" t="s">
        <v>1385</v>
      </c>
      <c r="U613" t="s">
        <v>1386</v>
      </c>
    </row>
    <row r="614" spans="1:21" x14ac:dyDescent="0.25">
      <c r="A614" t="s">
        <v>562</v>
      </c>
      <c r="B614" t="s">
        <v>2260</v>
      </c>
      <c r="C614" t="s">
        <v>563</v>
      </c>
      <c r="D614" t="s">
        <v>1906</v>
      </c>
      <c r="E614" t="str">
        <f>+CONCATENATE(D614,". FABRICADO EN ",M614,". PUNTERA DE ",N614,". PLANTILLA ",O614,". SUELA DE ",P614)</f>
        <v>ZAPATO S1+PS+CI+HI+FO+HRO+SR+ESD Negro-Azul 35. FABRICADO EN TEXTIL TRANSPIRABLE CON REFUERZO EN PUNTERA Y TRASERA. PUNTERA DE Fibra de vidrio. PLANTILLA Antiperforación textil. SUELA DE EVA/CAUCHO-NITRILO</v>
      </c>
      <c r="F614" t="str">
        <f>PROPER(E614)</f>
        <v>Zapato S1+Ps+Ci+Hi+Fo+Hro+Sr+Esd Negro-Azul 35. Fabricado En Textil Transpirable Con Refuerzo En Puntera Y Trasera. Puntera De Fibra De Vidrio. Plantilla Antiperforación Textil. Suela De Eva/Caucho-Nitrilo</v>
      </c>
      <c r="G614" s="24">
        <f>VLOOKUP(B614,Tabla1[],2,0)</f>
        <v>35.5</v>
      </c>
      <c r="H614" s="24">
        <f>+G614/0.72</f>
        <v>49.305555555555557</v>
      </c>
      <c r="I614" s="24">
        <f>+H614*1.21</f>
        <v>59.659722222222221</v>
      </c>
      <c r="J614" s="24" t="s">
        <v>2359</v>
      </c>
      <c r="K614" s="24" t="s">
        <v>2371</v>
      </c>
      <c r="L614" t="s">
        <v>1392</v>
      </c>
      <c r="M614" t="s">
        <v>1409</v>
      </c>
      <c r="N614" t="s">
        <v>1425</v>
      </c>
      <c r="O614" t="s">
        <v>1428</v>
      </c>
      <c r="P614" t="s">
        <v>1431</v>
      </c>
      <c r="Q614">
        <v>35</v>
      </c>
      <c r="R614" s="2">
        <v>8457780336560</v>
      </c>
      <c r="S614" s="3" t="s">
        <v>1199</v>
      </c>
      <c r="T614" t="s">
        <v>1387</v>
      </c>
    </row>
    <row r="615" spans="1:21" x14ac:dyDescent="0.25">
      <c r="A615" t="s">
        <v>562</v>
      </c>
      <c r="B615" t="s">
        <v>2260</v>
      </c>
      <c r="C615" t="s">
        <v>564</v>
      </c>
      <c r="D615" t="s">
        <v>1907</v>
      </c>
      <c r="E615" t="str">
        <f>+CONCATENATE(D615,". FABRICADO EN ",M615,". PUNTERA DE ",N615,". PLANTILLA ",O615,". SUELA DE ",P615)</f>
        <v>ZAPATO S1+PS+CI+HI+FO+HRO+SR+ESD Negro-Azul 36. FABRICADO EN TEXTIL TRANSPIRABLE CON REFUERZO EN PUNTERA Y TRASERA. PUNTERA DE Fibra de vidrio. PLANTILLA Antiperforación textil. SUELA DE EVA/CAUCHO-NITRILO</v>
      </c>
      <c r="F615" t="str">
        <f>PROPER(E615)</f>
        <v>Zapato S1+Ps+Ci+Hi+Fo+Hro+Sr+Esd Negro-Azul 36. Fabricado En Textil Transpirable Con Refuerzo En Puntera Y Trasera. Puntera De Fibra De Vidrio. Plantilla Antiperforación Textil. Suela De Eva/Caucho-Nitrilo</v>
      </c>
      <c r="G615" s="24">
        <f>VLOOKUP(B615,Tabla1[],2,0)</f>
        <v>35.5</v>
      </c>
      <c r="H615" s="24">
        <f>+G615/0.72</f>
        <v>49.305555555555557</v>
      </c>
      <c r="I615" s="24">
        <f>+H615*1.21</f>
        <v>59.659722222222221</v>
      </c>
      <c r="J615" s="24" t="s">
        <v>2359</v>
      </c>
      <c r="K615" s="24" t="s">
        <v>2371</v>
      </c>
      <c r="L615" t="s">
        <v>1392</v>
      </c>
      <c r="M615" t="s">
        <v>1409</v>
      </c>
      <c r="N615" t="s">
        <v>1425</v>
      </c>
      <c r="O615" t="s">
        <v>1428</v>
      </c>
      <c r="P615" t="s">
        <v>1431</v>
      </c>
      <c r="Q615">
        <v>36</v>
      </c>
      <c r="R615" s="2">
        <v>8457780336577</v>
      </c>
      <c r="S615" s="3" t="s">
        <v>1200</v>
      </c>
      <c r="T615" t="s">
        <v>1387</v>
      </c>
    </row>
    <row r="616" spans="1:21" x14ac:dyDescent="0.25">
      <c r="A616" t="s">
        <v>562</v>
      </c>
      <c r="B616" t="s">
        <v>2260</v>
      </c>
      <c r="C616" t="s">
        <v>565</v>
      </c>
      <c r="D616" t="s">
        <v>1908</v>
      </c>
      <c r="E616" t="str">
        <f>+CONCATENATE(D616,". FABRICADO EN ",M616,". PUNTERA DE ",N616,". PLANTILLA ",O616,". SUELA DE ",P616)</f>
        <v>ZAPATO S1+PS+CI+HI+FO+HRO+SR+ESD Negro-Azul 37. FABRICADO EN TEXTIL TRANSPIRABLE CON REFUERZO EN PUNTERA Y TRASERA. PUNTERA DE Fibra de vidrio. PLANTILLA Antiperforación textil. SUELA DE EVA/CAUCHO-NITRILO</v>
      </c>
      <c r="F616" t="str">
        <f>PROPER(E616)</f>
        <v>Zapato S1+Ps+Ci+Hi+Fo+Hro+Sr+Esd Negro-Azul 37. Fabricado En Textil Transpirable Con Refuerzo En Puntera Y Trasera. Puntera De Fibra De Vidrio. Plantilla Antiperforación Textil. Suela De Eva/Caucho-Nitrilo</v>
      </c>
      <c r="G616" s="24">
        <f>VLOOKUP(B616,Tabla1[],2,0)</f>
        <v>35.5</v>
      </c>
      <c r="H616" s="24">
        <f>+G616/0.72</f>
        <v>49.305555555555557</v>
      </c>
      <c r="I616" s="24">
        <f>+H616*1.21</f>
        <v>59.659722222222221</v>
      </c>
      <c r="J616" s="24" t="s">
        <v>2359</v>
      </c>
      <c r="K616" s="24" t="s">
        <v>2371</v>
      </c>
      <c r="L616" t="s">
        <v>1392</v>
      </c>
      <c r="M616" t="s">
        <v>1409</v>
      </c>
      <c r="N616" t="s">
        <v>1425</v>
      </c>
      <c r="O616" t="s">
        <v>1428</v>
      </c>
      <c r="P616" t="s">
        <v>1431</v>
      </c>
      <c r="Q616">
        <v>37</v>
      </c>
      <c r="R616" s="2">
        <v>8457780336584</v>
      </c>
      <c r="S616" s="3" t="s">
        <v>1201</v>
      </c>
      <c r="T616" t="s">
        <v>1387</v>
      </c>
    </row>
    <row r="617" spans="1:21" x14ac:dyDescent="0.25">
      <c r="A617" t="s">
        <v>562</v>
      </c>
      <c r="B617" t="s">
        <v>2260</v>
      </c>
      <c r="C617" t="s">
        <v>566</v>
      </c>
      <c r="D617" t="s">
        <v>1909</v>
      </c>
      <c r="E617" t="str">
        <f>+CONCATENATE(D617,". FABRICADO EN ",M617,". PUNTERA DE ",N617,". PLANTILLA ",O617,". SUELA DE ",P617)</f>
        <v>ZAPATO S1+PS+CI+HI+FO+HRO+SR+ESD Negro-Azul 38. FABRICADO EN TEXTIL TRANSPIRABLE CON REFUERZO EN PUNTERA Y TRASERA. PUNTERA DE Fibra de vidrio. PLANTILLA Antiperforación textil. SUELA DE EVA/CAUCHO-NITRILO</v>
      </c>
      <c r="F617" t="str">
        <f>PROPER(E617)</f>
        <v>Zapato S1+Ps+Ci+Hi+Fo+Hro+Sr+Esd Negro-Azul 38. Fabricado En Textil Transpirable Con Refuerzo En Puntera Y Trasera. Puntera De Fibra De Vidrio. Plantilla Antiperforación Textil. Suela De Eva/Caucho-Nitrilo</v>
      </c>
      <c r="G617" s="24">
        <f>VLOOKUP(B617,Tabla1[],2,0)</f>
        <v>35.5</v>
      </c>
      <c r="H617" s="24">
        <f>+G617/0.72</f>
        <v>49.305555555555557</v>
      </c>
      <c r="I617" s="24">
        <f>+H617*1.21</f>
        <v>59.659722222222221</v>
      </c>
      <c r="J617" s="24" t="s">
        <v>2359</v>
      </c>
      <c r="K617" s="24" t="s">
        <v>2371</v>
      </c>
      <c r="L617" t="s">
        <v>1392</v>
      </c>
      <c r="M617" t="s">
        <v>1409</v>
      </c>
      <c r="N617" t="s">
        <v>1425</v>
      </c>
      <c r="O617" t="s">
        <v>1428</v>
      </c>
      <c r="P617" t="s">
        <v>1431</v>
      </c>
      <c r="Q617">
        <v>38</v>
      </c>
      <c r="R617" s="2">
        <v>8457780336591</v>
      </c>
      <c r="S617" s="3" t="s">
        <v>1202</v>
      </c>
      <c r="T617" t="s">
        <v>1387</v>
      </c>
    </row>
    <row r="618" spans="1:21" x14ac:dyDescent="0.25">
      <c r="A618" t="s">
        <v>562</v>
      </c>
      <c r="B618" t="s">
        <v>2260</v>
      </c>
      <c r="C618" t="s">
        <v>567</v>
      </c>
      <c r="D618" t="s">
        <v>1910</v>
      </c>
      <c r="E618" t="str">
        <f>+CONCATENATE(D618,". FABRICADO EN ",M618,". PUNTERA DE ",N618,". PLANTILLA ",O618,". SUELA DE ",P618)</f>
        <v>ZAPATO S1+PS+CI+HI+FO+HRO+SR+ESD Negro-Azul 39. FABRICADO EN TEXTIL TRANSPIRABLE CON REFUERZO EN PUNTERA Y TRASERA. PUNTERA DE Fibra de vidrio. PLANTILLA Antiperforación textil. SUELA DE EVA/CAUCHO-NITRILO</v>
      </c>
      <c r="F618" t="str">
        <f>PROPER(E618)</f>
        <v>Zapato S1+Ps+Ci+Hi+Fo+Hro+Sr+Esd Negro-Azul 39. Fabricado En Textil Transpirable Con Refuerzo En Puntera Y Trasera. Puntera De Fibra De Vidrio. Plantilla Antiperforación Textil. Suela De Eva/Caucho-Nitrilo</v>
      </c>
      <c r="G618" s="24">
        <f>VLOOKUP(B618,Tabla1[],2,0)</f>
        <v>35.5</v>
      </c>
      <c r="H618" s="24">
        <f>+G618/0.72</f>
        <v>49.305555555555557</v>
      </c>
      <c r="I618" s="24">
        <f>+H618*1.21</f>
        <v>59.659722222222221</v>
      </c>
      <c r="J618" s="24" t="s">
        <v>2359</v>
      </c>
      <c r="K618" s="24" t="s">
        <v>2371</v>
      </c>
      <c r="L618" t="s">
        <v>1392</v>
      </c>
      <c r="M618" t="s">
        <v>1409</v>
      </c>
      <c r="N618" t="s">
        <v>1425</v>
      </c>
      <c r="O618" t="s">
        <v>1428</v>
      </c>
      <c r="P618" t="s">
        <v>1431</v>
      </c>
      <c r="Q618">
        <v>39</v>
      </c>
      <c r="R618" s="2">
        <v>8457780336607</v>
      </c>
      <c r="S618" s="3" t="s">
        <v>1203</v>
      </c>
      <c r="T618" t="s">
        <v>1387</v>
      </c>
    </row>
    <row r="619" spans="1:21" x14ac:dyDescent="0.25">
      <c r="A619" t="s">
        <v>562</v>
      </c>
      <c r="B619" t="s">
        <v>2260</v>
      </c>
      <c r="C619" t="s">
        <v>568</v>
      </c>
      <c r="D619" t="s">
        <v>1911</v>
      </c>
      <c r="E619" t="str">
        <f>+CONCATENATE(D619,". FABRICADO EN ",M619,". PUNTERA DE ",N619,". PLANTILLA ",O619,". SUELA DE ",P619)</f>
        <v>ZAPATO S1+PS+CI+HI+FO+HRO+SR+ESD Negro-Azul 40. FABRICADO EN TEXTIL TRANSPIRABLE CON REFUERZO EN PUNTERA Y TRASERA. PUNTERA DE Fibra de vidrio. PLANTILLA Antiperforación textil. SUELA DE EVA/CAUCHO-NITRILO</v>
      </c>
      <c r="F619" t="str">
        <f>PROPER(E619)</f>
        <v>Zapato S1+Ps+Ci+Hi+Fo+Hro+Sr+Esd Negro-Azul 40. Fabricado En Textil Transpirable Con Refuerzo En Puntera Y Trasera. Puntera De Fibra De Vidrio. Plantilla Antiperforación Textil. Suela De Eva/Caucho-Nitrilo</v>
      </c>
      <c r="G619" s="24">
        <f>VLOOKUP(B619,Tabla1[],2,0)</f>
        <v>35.5</v>
      </c>
      <c r="H619" s="24">
        <f>+G619/0.72</f>
        <v>49.305555555555557</v>
      </c>
      <c r="I619" s="24">
        <f>+H619*1.21</f>
        <v>59.659722222222221</v>
      </c>
      <c r="J619" s="24" t="s">
        <v>2359</v>
      </c>
      <c r="K619" s="24" t="s">
        <v>2371</v>
      </c>
      <c r="L619" t="s">
        <v>1392</v>
      </c>
      <c r="M619" t="s">
        <v>1409</v>
      </c>
      <c r="N619" t="s">
        <v>1425</v>
      </c>
      <c r="O619" t="s">
        <v>1428</v>
      </c>
      <c r="P619" t="s">
        <v>1431</v>
      </c>
      <c r="Q619">
        <v>40</v>
      </c>
      <c r="R619" s="2">
        <v>8457780336614</v>
      </c>
      <c r="S619" s="3" t="s">
        <v>1204</v>
      </c>
      <c r="T619" t="s">
        <v>1387</v>
      </c>
    </row>
    <row r="620" spans="1:21" x14ac:dyDescent="0.25">
      <c r="A620" t="s">
        <v>562</v>
      </c>
      <c r="B620" t="s">
        <v>2260</v>
      </c>
      <c r="C620" t="s">
        <v>569</v>
      </c>
      <c r="D620" t="s">
        <v>1912</v>
      </c>
      <c r="E620" t="str">
        <f>+CONCATENATE(D620,". FABRICADO EN ",M620,". PUNTERA DE ",N620,". PLANTILLA ",O620,". SUELA DE ",P620)</f>
        <v>ZAPATO S1+PS+CI+HI+FO+HRO+SR+ESD Negro-Azul 41. FABRICADO EN TEXTIL TRANSPIRABLE CON REFUERZO EN PUNTERA Y TRASERA. PUNTERA DE Fibra de vidrio. PLANTILLA Antiperforación textil. SUELA DE EVA/CAUCHO-NITRILO</v>
      </c>
      <c r="F620" t="str">
        <f>PROPER(E620)</f>
        <v>Zapato S1+Ps+Ci+Hi+Fo+Hro+Sr+Esd Negro-Azul 41. Fabricado En Textil Transpirable Con Refuerzo En Puntera Y Trasera. Puntera De Fibra De Vidrio. Plantilla Antiperforación Textil. Suela De Eva/Caucho-Nitrilo</v>
      </c>
      <c r="G620" s="24">
        <f>VLOOKUP(B620,Tabla1[],2,0)</f>
        <v>35.5</v>
      </c>
      <c r="H620" s="24">
        <f>+G620/0.72</f>
        <v>49.305555555555557</v>
      </c>
      <c r="I620" s="24">
        <f>+H620*1.21</f>
        <v>59.659722222222221</v>
      </c>
      <c r="J620" s="24" t="s">
        <v>2359</v>
      </c>
      <c r="K620" s="24" t="s">
        <v>2371</v>
      </c>
      <c r="L620" t="s">
        <v>1392</v>
      </c>
      <c r="M620" t="s">
        <v>1409</v>
      </c>
      <c r="N620" t="s">
        <v>1425</v>
      </c>
      <c r="O620" t="s">
        <v>1428</v>
      </c>
      <c r="P620" t="s">
        <v>1431</v>
      </c>
      <c r="Q620">
        <v>41</v>
      </c>
      <c r="R620" s="2">
        <v>8457780336621</v>
      </c>
      <c r="S620" s="3" t="s">
        <v>1205</v>
      </c>
      <c r="T620" t="s">
        <v>1387</v>
      </c>
    </row>
    <row r="621" spans="1:21" x14ac:dyDescent="0.25">
      <c r="A621" t="s">
        <v>562</v>
      </c>
      <c r="B621" t="s">
        <v>2260</v>
      </c>
      <c r="C621" t="s">
        <v>570</v>
      </c>
      <c r="D621" t="s">
        <v>1913</v>
      </c>
      <c r="E621" t="str">
        <f>+CONCATENATE(D621,". FABRICADO EN ",M621,". PUNTERA DE ",N621,". PLANTILLA ",O621,". SUELA DE ",P621)</f>
        <v>ZAPATO S1+PS+CI+HI+FO+HRO+SR+ESD Negro-Azul 42. FABRICADO EN TEXTIL TRANSPIRABLE CON REFUERZO EN PUNTERA Y TRASERA. PUNTERA DE Fibra de vidrio. PLANTILLA Antiperforación textil. SUELA DE EVA/CAUCHO-NITRILO</v>
      </c>
      <c r="F621" t="str">
        <f>PROPER(E621)</f>
        <v>Zapato S1+Ps+Ci+Hi+Fo+Hro+Sr+Esd Negro-Azul 42. Fabricado En Textil Transpirable Con Refuerzo En Puntera Y Trasera. Puntera De Fibra De Vidrio. Plantilla Antiperforación Textil. Suela De Eva/Caucho-Nitrilo</v>
      </c>
      <c r="G621" s="24">
        <f>VLOOKUP(B621,Tabla1[],2,0)</f>
        <v>35.5</v>
      </c>
      <c r="H621" s="24">
        <f>+G621/0.72</f>
        <v>49.305555555555557</v>
      </c>
      <c r="I621" s="24">
        <f>+H621*1.21</f>
        <v>59.659722222222221</v>
      </c>
      <c r="J621" s="24" t="s">
        <v>2359</v>
      </c>
      <c r="K621" s="24" t="s">
        <v>2371</v>
      </c>
      <c r="L621" t="s">
        <v>1392</v>
      </c>
      <c r="M621" t="s">
        <v>1409</v>
      </c>
      <c r="N621" t="s">
        <v>1425</v>
      </c>
      <c r="O621" t="s">
        <v>1428</v>
      </c>
      <c r="P621" t="s">
        <v>1431</v>
      </c>
      <c r="Q621">
        <v>42</v>
      </c>
      <c r="R621" s="2">
        <v>8457780336638</v>
      </c>
      <c r="S621" s="3" t="s">
        <v>1206</v>
      </c>
      <c r="T621" t="s">
        <v>1387</v>
      </c>
    </row>
    <row r="622" spans="1:21" x14ac:dyDescent="0.25">
      <c r="A622" t="s">
        <v>562</v>
      </c>
      <c r="B622" t="s">
        <v>2260</v>
      </c>
      <c r="C622" t="s">
        <v>571</v>
      </c>
      <c r="D622" t="s">
        <v>1914</v>
      </c>
      <c r="E622" t="str">
        <f>+CONCATENATE(D622,". FABRICADO EN ",M622,". PUNTERA DE ",N622,". PLANTILLA ",O622,". SUELA DE ",P622)</f>
        <v>ZAPATO S1+PS+CI+HI+FO+HRO+SR+ESD Negro-Azul 43. FABRICADO EN TEXTIL TRANSPIRABLE CON REFUERZO EN PUNTERA Y TRASERA. PUNTERA DE Fibra de vidrio. PLANTILLA Antiperforación textil. SUELA DE EVA/CAUCHO-NITRILO</v>
      </c>
      <c r="F622" t="str">
        <f>PROPER(E622)</f>
        <v>Zapato S1+Ps+Ci+Hi+Fo+Hro+Sr+Esd Negro-Azul 43. Fabricado En Textil Transpirable Con Refuerzo En Puntera Y Trasera. Puntera De Fibra De Vidrio. Plantilla Antiperforación Textil. Suela De Eva/Caucho-Nitrilo</v>
      </c>
      <c r="G622" s="24">
        <f>VLOOKUP(B622,Tabla1[],2,0)</f>
        <v>35.5</v>
      </c>
      <c r="H622" s="24">
        <f>+G622/0.72</f>
        <v>49.305555555555557</v>
      </c>
      <c r="I622" s="24">
        <f>+H622*1.21</f>
        <v>59.659722222222221</v>
      </c>
      <c r="J622" s="24" t="s">
        <v>2359</v>
      </c>
      <c r="K622" s="24" t="s">
        <v>2371</v>
      </c>
      <c r="L622" t="s">
        <v>1392</v>
      </c>
      <c r="M622" t="s">
        <v>1409</v>
      </c>
      <c r="N622" t="s">
        <v>1425</v>
      </c>
      <c r="O622" t="s">
        <v>1428</v>
      </c>
      <c r="P622" t="s">
        <v>1431</v>
      </c>
      <c r="Q622">
        <v>43</v>
      </c>
      <c r="R622" s="2">
        <v>8457780336645</v>
      </c>
      <c r="S622" s="3" t="s">
        <v>1207</v>
      </c>
      <c r="T622" t="s">
        <v>1387</v>
      </c>
    </row>
    <row r="623" spans="1:21" x14ac:dyDescent="0.25">
      <c r="A623" t="s">
        <v>562</v>
      </c>
      <c r="B623" t="s">
        <v>2260</v>
      </c>
      <c r="C623" t="s">
        <v>572</v>
      </c>
      <c r="D623" t="s">
        <v>1915</v>
      </c>
      <c r="E623" t="str">
        <f>+CONCATENATE(D623,". FABRICADO EN ",M623,". PUNTERA DE ",N623,". PLANTILLA ",O623,". SUELA DE ",P623)</f>
        <v>ZAPATO S1+PS+CI+HI+FO+HRO+SR+ESD Negro-Azul 44. FABRICADO EN TEXTIL TRANSPIRABLE CON REFUERZO EN PUNTERA Y TRASERA. PUNTERA DE Fibra de vidrio. PLANTILLA Antiperforación textil. SUELA DE EVA/CAUCHO-NITRILO</v>
      </c>
      <c r="F623" t="str">
        <f>PROPER(E623)</f>
        <v>Zapato S1+Ps+Ci+Hi+Fo+Hro+Sr+Esd Negro-Azul 44. Fabricado En Textil Transpirable Con Refuerzo En Puntera Y Trasera. Puntera De Fibra De Vidrio. Plantilla Antiperforación Textil. Suela De Eva/Caucho-Nitrilo</v>
      </c>
      <c r="G623" s="24">
        <f>VLOOKUP(B623,Tabla1[],2,0)</f>
        <v>35.5</v>
      </c>
      <c r="H623" s="24">
        <f>+G623/0.72</f>
        <v>49.305555555555557</v>
      </c>
      <c r="I623" s="24">
        <f>+H623*1.21</f>
        <v>59.659722222222221</v>
      </c>
      <c r="J623" s="24" t="s">
        <v>2359</v>
      </c>
      <c r="K623" s="24" t="s">
        <v>2371</v>
      </c>
      <c r="L623" t="s">
        <v>1392</v>
      </c>
      <c r="M623" t="s">
        <v>1409</v>
      </c>
      <c r="N623" t="s">
        <v>1425</v>
      </c>
      <c r="O623" t="s">
        <v>1428</v>
      </c>
      <c r="P623" t="s">
        <v>1431</v>
      </c>
      <c r="Q623">
        <v>44</v>
      </c>
      <c r="R623" s="2">
        <v>8457780336652</v>
      </c>
      <c r="S623" s="3" t="s">
        <v>1208</v>
      </c>
      <c r="T623" t="s">
        <v>1387</v>
      </c>
    </row>
    <row r="624" spans="1:21" x14ac:dyDescent="0.25">
      <c r="A624" t="s">
        <v>562</v>
      </c>
      <c r="B624" t="s">
        <v>2260</v>
      </c>
      <c r="C624" t="s">
        <v>573</v>
      </c>
      <c r="D624" t="s">
        <v>1916</v>
      </c>
      <c r="E624" t="str">
        <f>+CONCATENATE(D624,". FABRICADO EN ",M624,". PUNTERA DE ",N624,". PLANTILLA ",O624,". SUELA DE ",P624)</f>
        <v>ZAPATO S1+PS+CI+HI+FO+HRO+SR+ESD Negro-Azul 45. FABRICADO EN TEXTIL TRANSPIRABLE CON REFUERZO EN PUNTERA Y TRASERA. PUNTERA DE Fibra de vidrio. PLANTILLA Antiperforación textil. SUELA DE EVA/CAUCHO-NITRILO</v>
      </c>
      <c r="F624" t="str">
        <f>PROPER(E624)</f>
        <v>Zapato S1+Ps+Ci+Hi+Fo+Hro+Sr+Esd Negro-Azul 45. Fabricado En Textil Transpirable Con Refuerzo En Puntera Y Trasera. Puntera De Fibra De Vidrio. Plantilla Antiperforación Textil. Suela De Eva/Caucho-Nitrilo</v>
      </c>
      <c r="G624" s="24">
        <f>VLOOKUP(B624,Tabla1[],2,0)</f>
        <v>35.5</v>
      </c>
      <c r="H624" s="24">
        <f>+G624/0.72</f>
        <v>49.305555555555557</v>
      </c>
      <c r="I624" s="24">
        <f>+H624*1.21</f>
        <v>59.659722222222221</v>
      </c>
      <c r="J624" s="24" t="s">
        <v>2359</v>
      </c>
      <c r="K624" s="24" t="s">
        <v>2371</v>
      </c>
      <c r="L624" t="s">
        <v>1392</v>
      </c>
      <c r="M624" t="s">
        <v>1409</v>
      </c>
      <c r="N624" t="s">
        <v>1425</v>
      </c>
      <c r="O624" t="s">
        <v>1428</v>
      </c>
      <c r="P624" t="s">
        <v>1431</v>
      </c>
      <c r="Q624">
        <v>45</v>
      </c>
      <c r="R624" s="2">
        <v>8457780336669</v>
      </c>
      <c r="S624" s="3" t="s">
        <v>1209</v>
      </c>
      <c r="T624" t="s">
        <v>1387</v>
      </c>
    </row>
    <row r="625" spans="1:21" x14ac:dyDescent="0.25">
      <c r="A625" t="s">
        <v>562</v>
      </c>
      <c r="B625" t="s">
        <v>2260</v>
      </c>
      <c r="C625" t="s">
        <v>574</v>
      </c>
      <c r="D625" t="s">
        <v>1917</v>
      </c>
      <c r="E625" t="str">
        <f>+CONCATENATE(D625,". FABRICADO EN ",M625,". PUNTERA DE ",N625,". PLANTILLA ",O625,". SUELA DE ",P625)</f>
        <v>ZAPATO S1+PS+CI+HI+FO+HRO+SR+ESD Negro-Azul 46. FABRICADO EN TEXTIL TRANSPIRABLE CON REFUERZO EN PUNTERA Y TRASERA. PUNTERA DE Fibra de vidrio. PLANTILLA Antiperforación textil. SUELA DE EVA/CAUCHO-NITRILO</v>
      </c>
      <c r="F625" t="str">
        <f>PROPER(E625)</f>
        <v>Zapato S1+Ps+Ci+Hi+Fo+Hro+Sr+Esd Negro-Azul 46. Fabricado En Textil Transpirable Con Refuerzo En Puntera Y Trasera. Puntera De Fibra De Vidrio. Plantilla Antiperforación Textil. Suela De Eva/Caucho-Nitrilo</v>
      </c>
      <c r="G625" s="24">
        <f>VLOOKUP(B625,Tabla1[],2,0)</f>
        <v>35.5</v>
      </c>
      <c r="H625" s="24">
        <f>+G625/0.72</f>
        <v>49.305555555555557</v>
      </c>
      <c r="I625" s="24">
        <f>+H625*1.21</f>
        <v>59.659722222222221</v>
      </c>
      <c r="J625" s="24" t="s">
        <v>2359</v>
      </c>
      <c r="K625" s="24" t="s">
        <v>2371</v>
      </c>
      <c r="L625" t="s">
        <v>1392</v>
      </c>
      <c r="M625" t="s">
        <v>1409</v>
      </c>
      <c r="N625" t="s">
        <v>1425</v>
      </c>
      <c r="O625" t="s">
        <v>1428</v>
      </c>
      <c r="P625" t="s">
        <v>1431</v>
      </c>
      <c r="Q625">
        <v>46</v>
      </c>
      <c r="R625" s="2">
        <v>8457780336676</v>
      </c>
      <c r="S625" s="3" t="s">
        <v>1210</v>
      </c>
      <c r="T625" t="s">
        <v>1387</v>
      </c>
    </row>
    <row r="626" spans="1:21" x14ac:dyDescent="0.25">
      <c r="A626" t="s">
        <v>562</v>
      </c>
      <c r="B626" t="s">
        <v>2260</v>
      </c>
      <c r="C626" t="s">
        <v>575</v>
      </c>
      <c r="D626" t="s">
        <v>1918</v>
      </c>
      <c r="E626" t="str">
        <f>+CONCATENATE(D626,". FABRICADO EN ",M626,". PUNTERA DE ",N626,". PLANTILLA ",O626,". SUELA DE ",P626)</f>
        <v>ZAPATO S1+PS+CI+HI+FO+HRO+SR+ESD Negro-Azul 47. FABRICADO EN TEXTIL TRANSPIRABLE CON REFUERZO EN PUNTERA Y TRASERA. PUNTERA DE Fibra de vidrio. PLANTILLA Antiperforación textil. SUELA DE EVA/CAUCHO-NITRILO</v>
      </c>
      <c r="F626" t="str">
        <f>PROPER(E626)</f>
        <v>Zapato S1+Ps+Ci+Hi+Fo+Hro+Sr+Esd Negro-Azul 47. Fabricado En Textil Transpirable Con Refuerzo En Puntera Y Trasera. Puntera De Fibra De Vidrio. Plantilla Antiperforación Textil. Suela De Eva/Caucho-Nitrilo</v>
      </c>
      <c r="G626" s="24">
        <f>VLOOKUP(B626,Tabla1[],2,0)</f>
        <v>35.5</v>
      </c>
      <c r="H626" s="24">
        <f>+G626/0.72</f>
        <v>49.305555555555557</v>
      </c>
      <c r="I626" s="24">
        <f>+H626*1.21</f>
        <v>59.659722222222221</v>
      </c>
      <c r="J626" s="24" t="s">
        <v>2359</v>
      </c>
      <c r="K626" s="24" t="s">
        <v>2371</v>
      </c>
      <c r="L626" t="s">
        <v>1392</v>
      </c>
      <c r="M626" t="s">
        <v>1409</v>
      </c>
      <c r="N626" t="s">
        <v>1425</v>
      </c>
      <c r="O626" t="s">
        <v>1428</v>
      </c>
      <c r="P626" t="s">
        <v>1431</v>
      </c>
      <c r="Q626">
        <v>47</v>
      </c>
      <c r="R626" s="2">
        <v>8457780336683</v>
      </c>
      <c r="S626" s="3" t="s">
        <v>1211</v>
      </c>
      <c r="T626" t="s">
        <v>1387</v>
      </c>
    </row>
    <row r="627" spans="1:21" x14ac:dyDescent="0.25">
      <c r="A627" t="s">
        <v>562</v>
      </c>
      <c r="B627" t="s">
        <v>2260</v>
      </c>
      <c r="C627" t="s">
        <v>576</v>
      </c>
      <c r="D627" t="s">
        <v>1919</v>
      </c>
      <c r="E627" t="str">
        <f>+CONCATENATE(D627,". FABRICADO EN ",M627,". PUNTERA DE ",N627,". PLANTILLA ",O627,". SUELA DE ",P627)</f>
        <v>ZAPATO S1+PS+CI+HI+FO+HRO+SR+ESD Negro-Azul 48. FABRICADO EN TEXTIL TRANSPIRABLE CON REFUERZO EN PUNTERA Y TRASERA. PUNTERA DE Fibra de vidrio. PLANTILLA Antiperforación textil. SUELA DE EVA/CAUCHO-NITRILO</v>
      </c>
      <c r="F627" t="str">
        <f>PROPER(E627)</f>
        <v>Zapato S1+Ps+Ci+Hi+Fo+Hro+Sr+Esd Negro-Azul 48. Fabricado En Textil Transpirable Con Refuerzo En Puntera Y Trasera. Puntera De Fibra De Vidrio. Plantilla Antiperforación Textil. Suela De Eva/Caucho-Nitrilo</v>
      </c>
      <c r="G627" s="24">
        <f>VLOOKUP(B627,Tabla1[],2,0)</f>
        <v>35.5</v>
      </c>
      <c r="H627" s="24">
        <f>+G627/0.72</f>
        <v>49.305555555555557</v>
      </c>
      <c r="I627" s="24">
        <f>+H627*1.21</f>
        <v>59.659722222222221</v>
      </c>
      <c r="J627" s="24" t="s">
        <v>2359</v>
      </c>
      <c r="K627" s="24" t="s">
        <v>2371</v>
      </c>
      <c r="L627" t="s">
        <v>1392</v>
      </c>
      <c r="M627" t="s">
        <v>1409</v>
      </c>
      <c r="N627" t="s">
        <v>1425</v>
      </c>
      <c r="O627" t="s">
        <v>1428</v>
      </c>
      <c r="P627" t="s">
        <v>1431</v>
      </c>
      <c r="Q627">
        <v>48</v>
      </c>
      <c r="R627" s="2">
        <v>8457780336690</v>
      </c>
      <c r="S627" s="3" t="s">
        <v>1212</v>
      </c>
      <c r="T627" t="s">
        <v>1387</v>
      </c>
    </row>
    <row r="628" spans="1:21" x14ac:dyDescent="0.25">
      <c r="A628" t="s">
        <v>577</v>
      </c>
      <c r="B628" t="s">
        <v>2261</v>
      </c>
      <c r="C628" t="s">
        <v>578</v>
      </c>
      <c r="D628" t="s">
        <v>1460</v>
      </c>
      <c r="E628" t="str">
        <f>+CONCATENATE(D628,". FABRICADO EN ",M628,". PUNTERA DE ",N628,". PLANTILLA ",O628,". SUELA DE ",P628)</f>
        <v>ZAPATO MF S3+CI+SRC+ESD Negro 35. FABRICADO EN MICROFIBRA + TEJIDO REFLECTANTE . PUNTERA DE Fibra de vidrio. PLANTILLA Antiperforación textil. SUELA DE PU/PU DOBLE DENSIDAD</v>
      </c>
      <c r="F628" t="str">
        <f>PROPER(E628)</f>
        <v>Zapato Mf S3+Ci+Src+Esd Negro 35. Fabricado En Microfibra + Tejido Reflectante . Puntera De Fibra De Vidrio. Plantilla Antiperforación Textil. Suela De Pu/Pu Doble Densidad</v>
      </c>
      <c r="G628" s="24">
        <f>VLOOKUP(B628,Tabla1[],2,0)</f>
        <v>27.9</v>
      </c>
      <c r="H628" s="24">
        <f>+G628/0.72</f>
        <v>38.75</v>
      </c>
      <c r="I628" s="24">
        <f>+H628*1.21</f>
        <v>46.887499999999996</v>
      </c>
      <c r="J628" s="24" t="s">
        <v>2359</v>
      </c>
      <c r="K628" s="24" t="s">
        <v>2365</v>
      </c>
      <c r="L628" t="s">
        <v>1392</v>
      </c>
      <c r="M628" t="s">
        <v>1412</v>
      </c>
      <c r="N628" t="s">
        <v>1425</v>
      </c>
      <c r="O628" t="s">
        <v>1428</v>
      </c>
      <c r="P628" t="s">
        <v>1429</v>
      </c>
      <c r="Q628">
        <v>35</v>
      </c>
      <c r="R628" s="2">
        <v>8457780312540</v>
      </c>
      <c r="S628" s="3" t="s">
        <v>1213</v>
      </c>
      <c r="T628" t="s">
        <v>1367</v>
      </c>
      <c r="U628" t="s">
        <v>1368</v>
      </c>
    </row>
    <row r="629" spans="1:21" x14ac:dyDescent="0.25">
      <c r="A629" t="s">
        <v>577</v>
      </c>
      <c r="B629" t="s">
        <v>2261</v>
      </c>
      <c r="C629" t="s">
        <v>579</v>
      </c>
      <c r="D629" t="s">
        <v>1461</v>
      </c>
      <c r="E629" t="str">
        <f>+CONCATENATE(D629,". FABRICADO EN ",M629,". PUNTERA DE ",N629,". PLANTILLA ",O629,". SUELA DE ",P629)</f>
        <v>ZAPATO MF S3+CI+SRC+ESD Negro 36. FABRICADO EN MICROFIBRA + TEJIDO REFLECTANTE . PUNTERA DE Fibra de vidrio. PLANTILLA Antiperforación textil. SUELA DE PU/PU DOBLE DENSIDAD</v>
      </c>
      <c r="F629" t="str">
        <f>PROPER(E629)</f>
        <v>Zapato Mf S3+Ci+Src+Esd Negro 36. Fabricado En Microfibra + Tejido Reflectante . Puntera De Fibra De Vidrio. Plantilla Antiperforación Textil. Suela De Pu/Pu Doble Densidad</v>
      </c>
      <c r="G629" s="24">
        <f>VLOOKUP(B629,Tabla1[],2,0)</f>
        <v>27.9</v>
      </c>
      <c r="H629" s="24">
        <f>+G629/0.72</f>
        <v>38.75</v>
      </c>
      <c r="I629" s="24">
        <f>+H629*1.21</f>
        <v>46.887499999999996</v>
      </c>
      <c r="J629" s="24" t="s">
        <v>2359</v>
      </c>
      <c r="K629" s="24" t="s">
        <v>2365</v>
      </c>
      <c r="L629" t="s">
        <v>1392</v>
      </c>
      <c r="M629" t="s">
        <v>1412</v>
      </c>
      <c r="N629" t="s">
        <v>1425</v>
      </c>
      <c r="O629" t="s">
        <v>1428</v>
      </c>
      <c r="P629" t="s">
        <v>1429</v>
      </c>
      <c r="Q629">
        <v>36</v>
      </c>
      <c r="R629" s="2">
        <v>8457780312557</v>
      </c>
      <c r="S629" s="3" t="s">
        <v>1214</v>
      </c>
      <c r="T629" t="s">
        <v>1367</v>
      </c>
      <c r="U629" t="s">
        <v>1368</v>
      </c>
    </row>
    <row r="630" spans="1:21" x14ac:dyDescent="0.25">
      <c r="A630" t="s">
        <v>577</v>
      </c>
      <c r="B630" t="s">
        <v>2261</v>
      </c>
      <c r="C630" t="s">
        <v>580</v>
      </c>
      <c r="D630" t="s">
        <v>1462</v>
      </c>
      <c r="E630" t="str">
        <f>+CONCATENATE(D630,". FABRICADO EN ",M630,". PUNTERA DE ",N630,". PLANTILLA ",O630,". SUELA DE ",P630)</f>
        <v>ZAPATO MF S3+CI+SRC+ESD Negro 37. FABRICADO EN MICROFIBRA + TEJIDO REFLECTANTE . PUNTERA DE Fibra de vidrio. PLANTILLA Antiperforación textil. SUELA DE PU/PU DOBLE DENSIDAD</v>
      </c>
      <c r="F630" t="str">
        <f>PROPER(E630)</f>
        <v>Zapato Mf S3+Ci+Src+Esd Negro 37. Fabricado En Microfibra + Tejido Reflectante . Puntera De Fibra De Vidrio. Plantilla Antiperforación Textil. Suela De Pu/Pu Doble Densidad</v>
      </c>
      <c r="G630" s="24">
        <f>VLOOKUP(B630,Tabla1[],2,0)</f>
        <v>27.9</v>
      </c>
      <c r="H630" s="24">
        <f>+G630/0.72</f>
        <v>38.75</v>
      </c>
      <c r="I630" s="24">
        <f>+H630*1.21</f>
        <v>46.887499999999996</v>
      </c>
      <c r="J630" s="24" t="s">
        <v>2359</v>
      </c>
      <c r="K630" s="24" t="s">
        <v>2365</v>
      </c>
      <c r="L630" t="s">
        <v>1392</v>
      </c>
      <c r="M630" t="s">
        <v>1412</v>
      </c>
      <c r="N630" t="s">
        <v>1425</v>
      </c>
      <c r="O630" t="s">
        <v>1428</v>
      </c>
      <c r="P630" t="s">
        <v>1429</v>
      </c>
      <c r="Q630">
        <v>37</v>
      </c>
      <c r="R630" s="2">
        <v>8457780312564</v>
      </c>
      <c r="S630" s="3" t="s">
        <v>1215</v>
      </c>
      <c r="T630" t="s">
        <v>1367</v>
      </c>
      <c r="U630" t="s">
        <v>1368</v>
      </c>
    </row>
    <row r="631" spans="1:21" x14ac:dyDescent="0.25">
      <c r="A631" t="s">
        <v>577</v>
      </c>
      <c r="B631" t="s">
        <v>2261</v>
      </c>
      <c r="C631" t="s">
        <v>581</v>
      </c>
      <c r="D631" t="s">
        <v>1463</v>
      </c>
      <c r="E631" t="str">
        <f>+CONCATENATE(D631,". FABRICADO EN ",M631,". PUNTERA DE ",N631,". PLANTILLA ",O631,". SUELA DE ",P631)</f>
        <v>ZAPATO MF S3+CI+SRC+ESD Negro 38. FABRICADO EN MICROFIBRA + TEJIDO REFLECTANTE . PUNTERA DE Fibra de vidrio. PLANTILLA Antiperforación textil. SUELA DE PU/PU DOBLE DENSIDAD</v>
      </c>
      <c r="F631" t="str">
        <f>PROPER(E631)</f>
        <v>Zapato Mf S3+Ci+Src+Esd Negro 38. Fabricado En Microfibra + Tejido Reflectante . Puntera De Fibra De Vidrio. Plantilla Antiperforación Textil. Suela De Pu/Pu Doble Densidad</v>
      </c>
      <c r="G631" s="24">
        <f>VLOOKUP(B631,Tabla1[],2,0)</f>
        <v>27.9</v>
      </c>
      <c r="H631" s="24">
        <f>+G631/0.72</f>
        <v>38.75</v>
      </c>
      <c r="I631" s="24">
        <f>+H631*1.21</f>
        <v>46.887499999999996</v>
      </c>
      <c r="J631" s="24" t="s">
        <v>2359</v>
      </c>
      <c r="K631" s="24" t="s">
        <v>2365</v>
      </c>
      <c r="L631" t="s">
        <v>1392</v>
      </c>
      <c r="M631" t="s">
        <v>1412</v>
      </c>
      <c r="N631" t="s">
        <v>1425</v>
      </c>
      <c r="O631" t="s">
        <v>1428</v>
      </c>
      <c r="P631" t="s">
        <v>1429</v>
      </c>
      <c r="Q631">
        <v>38</v>
      </c>
      <c r="R631" s="2">
        <v>8457780312571</v>
      </c>
      <c r="S631" s="3" t="s">
        <v>1216</v>
      </c>
      <c r="T631" t="s">
        <v>1367</v>
      </c>
      <c r="U631" t="s">
        <v>1368</v>
      </c>
    </row>
    <row r="632" spans="1:21" x14ac:dyDescent="0.25">
      <c r="A632" t="s">
        <v>577</v>
      </c>
      <c r="B632" t="s">
        <v>2261</v>
      </c>
      <c r="C632" t="s">
        <v>582</v>
      </c>
      <c r="D632" t="s">
        <v>1464</v>
      </c>
      <c r="E632" t="str">
        <f>+CONCATENATE(D632,". FABRICADO EN ",M632,". PUNTERA DE ",N632,". PLANTILLA ",O632,". SUELA DE ",P632)</f>
        <v>ZAPATO MF S3+CI+SRC+ESD Negro 39. FABRICADO EN MICROFIBRA + TEJIDO REFLECTANTE . PUNTERA DE Fibra de vidrio. PLANTILLA Antiperforación textil. SUELA DE PU/PU DOBLE DENSIDAD</v>
      </c>
      <c r="F632" t="str">
        <f>PROPER(E632)</f>
        <v>Zapato Mf S3+Ci+Src+Esd Negro 39. Fabricado En Microfibra + Tejido Reflectante . Puntera De Fibra De Vidrio. Plantilla Antiperforación Textil. Suela De Pu/Pu Doble Densidad</v>
      </c>
      <c r="G632" s="24">
        <f>VLOOKUP(B632,Tabla1[],2,0)</f>
        <v>27.9</v>
      </c>
      <c r="H632" s="24">
        <f>+G632/0.72</f>
        <v>38.75</v>
      </c>
      <c r="I632" s="24">
        <f>+H632*1.21</f>
        <v>46.887499999999996</v>
      </c>
      <c r="J632" s="24" t="s">
        <v>2359</v>
      </c>
      <c r="K632" s="24" t="s">
        <v>2365</v>
      </c>
      <c r="L632" t="s">
        <v>1392</v>
      </c>
      <c r="M632" t="s">
        <v>1412</v>
      </c>
      <c r="N632" t="s">
        <v>1425</v>
      </c>
      <c r="O632" t="s">
        <v>1428</v>
      </c>
      <c r="P632" t="s">
        <v>1429</v>
      </c>
      <c r="Q632">
        <v>39</v>
      </c>
      <c r="R632" s="2">
        <v>8457780312588</v>
      </c>
      <c r="S632" s="3" t="s">
        <v>1217</v>
      </c>
      <c r="T632" t="s">
        <v>1367</v>
      </c>
      <c r="U632" t="s">
        <v>1368</v>
      </c>
    </row>
    <row r="633" spans="1:21" x14ac:dyDescent="0.25">
      <c r="A633" t="s">
        <v>577</v>
      </c>
      <c r="B633" t="s">
        <v>2261</v>
      </c>
      <c r="C633" t="s">
        <v>583</v>
      </c>
      <c r="D633" t="s">
        <v>1465</v>
      </c>
      <c r="E633" t="str">
        <f>+CONCATENATE(D633,". FABRICADO EN ",M633,". PUNTERA DE ",N633,". PLANTILLA ",O633,". SUELA DE ",P633)</f>
        <v>ZAPATO MF S3+CI+SRC+ESD Negro 40. FABRICADO EN MICROFIBRA + TEJIDO REFLECTANTE . PUNTERA DE Fibra de vidrio. PLANTILLA Antiperforación textil. SUELA DE PU/PU DOBLE DENSIDAD</v>
      </c>
      <c r="F633" t="str">
        <f>PROPER(E633)</f>
        <v>Zapato Mf S3+Ci+Src+Esd Negro 40. Fabricado En Microfibra + Tejido Reflectante . Puntera De Fibra De Vidrio. Plantilla Antiperforación Textil. Suela De Pu/Pu Doble Densidad</v>
      </c>
      <c r="G633" s="24">
        <f>VLOOKUP(B633,Tabla1[],2,0)</f>
        <v>27.9</v>
      </c>
      <c r="H633" s="24">
        <f>+G633/0.72</f>
        <v>38.75</v>
      </c>
      <c r="I633" s="24">
        <f>+H633*1.21</f>
        <v>46.887499999999996</v>
      </c>
      <c r="J633" s="24" t="s">
        <v>2359</v>
      </c>
      <c r="K633" s="24" t="s">
        <v>2365</v>
      </c>
      <c r="L633" t="s">
        <v>1392</v>
      </c>
      <c r="M633" t="s">
        <v>1412</v>
      </c>
      <c r="N633" t="s">
        <v>1425</v>
      </c>
      <c r="O633" t="s">
        <v>1428</v>
      </c>
      <c r="P633" t="s">
        <v>1429</v>
      </c>
      <c r="Q633">
        <v>40</v>
      </c>
      <c r="R633" s="2">
        <v>8457780312595</v>
      </c>
      <c r="S633" s="3" t="s">
        <v>1218</v>
      </c>
      <c r="T633" t="s">
        <v>1367</v>
      </c>
      <c r="U633" t="s">
        <v>1368</v>
      </c>
    </row>
    <row r="634" spans="1:21" x14ac:dyDescent="0.25">
      <c r="A634" t="s">
        <v>577</v>
      </c>
      <c r="B634" t="s">
        <v>2261</v>
      </c>
      <c r="C634" t="s">
        <v>584</v>
      </c>
      <c r="D634" t="s">
        <v>1466</v>
      </c>
      <c r="E634" t="str">
        <f>+CONCATENATE(D634,". FABRICADO EN ",M634,". PUNTERA DE ",N634,". PLANTILLA ",O634,". SUELA DE ",P634)</f>
        <v>ZAPATO MF S3+CI+SRC+ESD Negro 41. FABRICADO EN MICROFIBRA + TEJIDO REFLECTANTE . PUNTERA DE Fibra de vidrio. PLANTILLA Antiperforación textil. SUELA DE PU/PU DOBLE DENSIDAD</v>
      </c>
      <c r="F634" t="str">
        <f>PROPER(E634)</f>
        <v>Zapato Mf S3+Ci+Src+Esd Negro 41. Fabricado En Microfibra + Tejido Reflectante . Puntera De Fibra De Vidrio. Plantilla Antiperforación Textil. Suela De Pu/Pu Doble Densidad</v>
      </c>
      <c r="G634" s="24">
        <f>VLOOKUP(B634,Tabla1[],2,0)</f>
        <v>27.9</v>
      </c>
      <c r="H634" s="24">
        <f>+G634/0.72</f>
        <v>38.75</v>
      </c>
      <c r="I634" s="24">
        <f>+H634*1.21</f>
        <v>46.887499999999996</v>
      </c>
      <c r="J634" s="24" t="s">
        <v>2359</v>
      </c>
      <c r="K634" s="24" t="s">
        <v>2365</v>
      </c>
      <c r="L634" t="s">
        <v>1392</v>
      </c>
      <c r="M634" t="s">
        <v>1412</v>
      </c>
      <c r="N634" t="s">
        <v>1425</v>
      </c>
      <c r="O634" t="s">
        <v>1428</v>
      </c>
      <c r="P634" t="s">
        <v>1429</v>
      </c>
      <c r="Q634">
        <v>41</v>
      </c>
      <c r="R634" s="2">
        <v>8457780312601</v>
      </c>
      <c r="S634" s="3" t="s">
        <v>1219</v>
      </c>
      <c r="T634" t="s">
        <v>1367</v>
      </c>
      <c r="U634" t="s">
        <v>1368</v>
      </c>
    </row>
    <row r="635" spans="1:21" x14ac:dyDescent="0.25">
      <c r="A635" t="s">
        <v>577</v>
      </c>
      <c r="B635" t="s">
        <v>2261</v>
      </c>
      <c r="C635" t="s">
        <v>585</v>
      </c>
      <c r="D635" t="s">
        <v>1467</v>
      </c>
      <c r="E635" t="str">
        <f>+CONCATENATE(D635,". FABRICADO EN ",M635,". PUNTERA DE ",N635,". PLANTILLA ",O635,". SUELA DE ",P635)</f>
        <v>ZAPATO MF S3+CI+SRC+ESD Negro 42. FABRICADO EN MICROFIBRA + TEJIDO REFLECTANTE . PUNTERA DE Fibra de vidrio. PLANTILLA Antiperforación textil. SUELA DE PU/PU DOBLE DENSIDAD</v>
      </c>
      <c r="F635" t="str">
        <f>PROPER(E635)</f>
        <v>Zapato Mf S3+Ci+Src+Esd Negro 42. Fabricado En Microfibra + Tejido Reflectante . Puntera De Fibra De Vidrio. Plantilla Antiperforación Textil. Suela De Pu/Pu Doble Densidad</v>
      </c>
      <c r="G635" s="24">
        <f>VLOOKUP(B635,Tabla1[],2,0)</f>
        <v>27.9</v>
      </c>
      <c r="H635" s="24">
        <f>+G635/0.72</f>
        <v>38.75</v>
      </c>
      <c r="I635" s="24">
        <f>+H635*1.21</f>
        <v>46.887499999999996</v>
      </c>
      <c r="J635" s="24" t="s">
        <v>2359</v>
      </c>
      <c r="K635" s="24" t="s">
        <v>2365</v>
      </c>
      <c r="L635" t="s">
        <v>1392</v>
      </c>
      <c r="M635" t="s">
        <v>1412</v>
      </c>
      <c r="N635" t="s">
        <v>1425</v>
      </c>
      <c r="O635" t="s">
        <v>1428</v>
      </c>
      <c r="P635" t="s">
        <v>1429</v>
      </c>
      <c r="Q635">
        <v>42</v>
      </c>
      <c r="R635" s="2">
        <v>8457780312618</v>
      </c>
      <c r="S635" s="3" t="s">
        <v>1220</v>
      </c>
      <c r="T635" t="s">
        <v>1367</v>
      </c>
      <c r="U635" t="s">
        <v>1368</v>
      </c>
    </row>
    <row r="636" spans="1:21" x14ac:dyDescent="0.25">
      <c r="A636" t="s">
        <v>577</v>
      </c>
      <c r="B636" t="s">
        <v>2261</v>
      </c>
      <c r="C636" t="s">
        <v>586</v>
      </c>
      <c r="D636" t="s">
        <v>1468</v>
      </c>
      <c r="E636" t="str">
        <f>+CONCATENATE(D636,". FABRICADO EN ",M636,". PUNTERA DE ",N636,". PLANTILLA ",O636,". SUELA DE ",P636)</f>
        <v>ZAPATO MF S3+CI+SRC+ESD Negro 43. FABRICADO EN MICROFIBRA + TEJIDO REFLECTANTE . PUNTERA DE Fibra de vidrio. PLANTILLA Antiperforación textil. SUELA DE PU/PU DOBLE DENSIDAD</v>
      </c>
      <c r="F636" t="str">
        <f>PROPER(E636)</f>
        <v>Zapato Mf S3+Ci+Src+Esd Negro 43. Fabricado En Microfibra + Tejido Reflectante . Puntera De Fibra De Vidrio. Plantilla Antiperforación Textil. Suela De Pu/Pu Doble Densidad</v>
      </c>
      <c r="G636" s="24">
        <f>VLOOKUP(B636,Tabla1[],2,0)</f>
        <v>27.9</v>
      </c>
      <c r="H636" s="24">
        <f>+G636/0.72</f>
        <v>38.75</v>
      </c>
      <c r="I636" s="24">
        <f>+H636*1.21</f>
        <v>46.887499999999996</v>
      </c>
      <c r="J636" s="24" t="s">
        <v>2359</v>
      </c>
      <c r="K636" s="24" t="s">
        <v>2365</v>
      </c>
      <c r="L636" t="s">
        <v>1392</v>
      </c>
      <c r="M636" t="s">
        <v>1412</v>
      </c>
      <c r="N636" t="s">
        <v>1425</v>
      </c>
      <c r="O636" t="s">
        <v>1428</v>
      </c>
      <c r="P636" t="s">
        <v>1429</v>
      </c>
      <c r="Q636">
        <v>43</v>
      </c>
      <c r="R636" s="2">
        <v>8457780312625</v>
      </c>
      <c r="S636" s="3" t="s">
        <v>1221</v>
      </c>
      <c r="T636" t="s">
        <v>1367</v>
      </c>
      <c r="U636" t="s">
        <v>1368</v>
      </c>
    </row>
    <row r="637" spans="1:21" x14ac:dyDescent="0.25">
      <c r="A637" t="s">
        <v>577</v>
      </c>
      <c r="B637" t="s">
        <v>2261</v>
      </c>
      <c r="C637" t="s">
        <v>587</v>
      </c>
      <c r="D637" t="s">
        <v>1469</v>
      </c>
      <c r="E637" t="str">
        <f>+CONCATENATE(D637,". FABRICADO EN ",M637,". PUNTERA DE ",N637,". PLANTILLA ",O637,". SUELA DE ",P637)</f>
        <v>ZAPATO MF S3+CI+SRC+ESD Negro 44. FABRICADO EN MICROFIBRA + TEJIDO REFLECTANTE . PUNTERA DE Fibra de vidrio. PLANTILLA Antiperforación textil. SUELA DE PU/PU DOBLE DENSIDAD</v>
      </c>
      <c r="F637" t="str">
        <f>PROPER(E637)</f>
        <v>Zapato Mf S3+Ci+Src+Esd Negro 44. Fabricado En Microfibra + Tejido Reflectante . Puntera De Fibra De Vidrio. Plantilla Antiperforación Textil. Suela De Pu/Pu Doble Densidad</v>
      </c>
      <c r="G637" s="24">
        <f>VLOOKUP(B637,Tabla1[],2,0)</f>
        <v>27.9</v>
      </c>
      <c r="H637" s="24">
        <f>+G637/0.72</f>
        <v>38.75</v>
      </c>
      <c r="I637" s="24">
        <f>+H637*1.21</f>
        <v>46.887499999999996</v>
      </c>
      <c r="J637" s="24" t="s">
        <v>2359</v>
      </c>
      <c r="K637" s="24" t="s">
        <v>2365</v>
      </c>
      <c r="L637" t="s">
        <v>1392</v>
      </c>
      <c r="M637" t="s">
        <v>1412</v>
      </c>
      <c r="N637" t="s">
        <v>1425</v>
      </c>
      <c r="O637" t="s">
        <v>1428</v>
      </c>
      <c r="P637" t="s">
        <v>1429</v>
      </c>
      <c r="Q637">
        <v>44</v>
      </c>
      <c r="R637" s="2">
        <v>8457780312632</v>
      </c>
      <c r="S637" s="3" t="s">
        <v>1222</v>
      </c>
      <c r="T637" t="s">
        <v>1367</v>
      </c>
      <c r="U637" t="s">
        <v>1368</v>
      </c>
    </row>
    <row r="638" spans="1:21" x14ac:dyDescent="0.25">
      <c r="A638" t="s">
        <v>577</v>
      </c>
      <c r="B638" t="s">
        <v>2261</v>
      </c>
      <c r="C638" t="s">
        <v>588</v>
      </c>
      <c r="D638" t="s">
        <v>1470</v>
      </c>
      <c r="E638" t="str">
        <f>+CONCATENATE(D638,". FABRICADO EN ",M638,". PUNTERA DE ",N638,". PLANTILLA ",O638,". SUELA DE ",P638)</f>
        <v>ZAPATO MF S3+CI+SRC+ESD Negro 45. FABRICADO EN MICROFIBRA + TEJIDO REFLECTANTE . PUNTERA DE Fibra de vidrio. PLANTILLA Antiperforación textil. SUELA DE PU/PU DOBLE DENSIDAD</v>
      </c>
      <c r="F638" t="str">
        <f>PROPER(E638)</f>
        <v>Zapato Mf S3+Ci+Src+Esd Negro 45. Fabricado En Microfibra + Tejido Reflectante . Puntera De Fibra De Vidrio. Plantilla Antiperforación Textil. Suela De Pu/Pu Doble Densidad</v>
      </c>
      <c r="G638" s="24">
        <f>VLOOKUP(B638,Tabla1[],2,0)</f>
        <v>27.9</v>
      </c>
      <c r="H638" s="24">
        <f>+G638/0.72</f>
        <v>38.75</v>
      </c>
      <c r="I638" s="24">
        <f>+H638*1.21</f>
        <v>46.887499999999996</v>
      </c>
      <c r="J638" s="24" t="s">
        <v>2359</v>
      </c>
      <c r="K638" s="24" t="s">
        <v>2365</v>
      </c>
      <c r="L638" t="s">
        <v>1392</v>
      </c>
      <c r="M638" t="s">
        <v>1412</v>
      </c>
      <c r="N638" t="s">
        <v>1425</v>
      </c>
      <c r="O638" t="s">
        <v>1428</v>
      </c>
      <c r="P638" t="s">
        <v>1429</v>
      </c>
      <c r="Q638">
        <v>45</v>
      </c>
      <c r="R638" s="2">
        <v>8457780312649</v>
      </c>
      <c r="S638" s="3" t="s">
        <v>1223</v>
      </c>
      <c r="T638" t="s">
        <v>1367</v>
      </c>
      <c r="U638" t="s">
        <v>1368</v>
      </c>
    </row>
    <row r="639" spans="1:21" x14ac:dyDescent="0.25">
      <c r="A639" t="s">
        <v>577</v>
      </c>
      <c r="B639" t="s">
        <v>2261</v>
      </c>
      <c r="C639" t="s">
        <v>589</v>
      </c>
      <c r="D639" t="s">
        <v>1471</v>
      </c>
      <c r="E639" t="str">
        <f>+CONCATENATE(D639,". FABRICADO EN ",M639,". PUNTERA DE ",N639,". PLANTILLA ",O639,". SUELA DE ",P639)</f>
        <v>ZAPATO MF S3+CI+SRC+ESD Negro 46. FABRICADO EN MICROFIBRA + TEJIDO REFLECTANTE . PUNTERA DE Fibra de vidrio. PLANTILLA Antiperforación textil. SUELA DE PU/PU DOBLE DENSIDAD</v>
      </c>
      <c r="F639" t="str">
        <f>PROPER(E639)</f>
        <v>Zapato Mf S3+Ci+Src+Esd Negro 46. Fabricado En Microfibra + Tejido Reflectante . Puntera De Fibra De Vidrio. Plantilla Antiperforación Textil. Suela De Pu/Pu Doble Densidad</v>
      </c>
      <c r="G639" s="24">
        <f>VLOOKUP(B639,Tabla1[],2,0)</f>
        <v>27.9</v>
      </c>
      <c r="H639" s="24">
        <f>+G639/0.72</f>
        <v>38.75</v>
      </c>
      <c r="I639" s="24">
        <f>+H639*1.21</f>
        <v>46.887499999999996</v>
      </c>
      <c r="J639" s="24" t="s">
        <v>2359</v>
      </c>
      <c r="K639" s="24" t="s">
        <v>2365</v>
      </c>
      <c r="L639" t="s">
        <v>1392</v>
      </c>
      <c r="M639" t="s">
        <v>1412</v>
      </c>
      <c r="N639" t="s">
        <v>1425</v>
      </c>
      <c r="O639" t="s">
        <v>1428</v>
      </c>
      <c r="P639" t="s">
        <v>1429</v>
      </c>
      <c r="Q639">
        <v>46</v>
      </c>
      <c r="R639" s="2">
        <v>8457780312656</v>
      </c>
      <c r="S639" s="3" t="s">
        <v>1224</v>
      </c>
      <c r="T639" t="s">
        <v>1367</v>
      </c>
      <c r="U639" t="s">
        <v>1368</v>
      </c>
    </row>
    <row r="640" spans="1:21" x14ac:dyDescent="0.25">
      <c r="A640" t="s">
        <v>577</v>
      </c>
      <c r="B640" t="s">
        <v>2261</v>
      </c>
      <c r="C640" t="s">
        <v>590</v>
      </c>
      <c r="D640" t="s">
        <v>1472</v>
      </c>
      <c r="E640" t="str">
        <f>+CONCATENATE(D640,". FABRICADO EN ",M640,". PUNTERA DE ",N640,". PLANTILLA ",O640,". SUELA DE ",P640)</f>
        <v>ZAPATO MF S3+CI+SRC+ESD Negro 47. FABRICADO EN MICROFIBRA + TEJIDO REFLECTANTE . PUNTERA DE Fibra de vidrio. PLANTILLA Antiperforación textil. SUELA DE PU/PU DOBLE DENSIDAD</v>
      </c>
      <c r="F640" t="str">
        <f>PROPER(E640)</f>
        <v>Zapato Mf S3+Ci+Src+Esd Negro 47. Fabricado En Microfibra + Tejido Reflectante . Puntera De Fibra De Vidrio. Plantilla Antiperforación Textil. Suela De Pu/Pu Doble Densidad</v>
      </c>
      <c r="G640" s="24">
        <f>VLOOKUP(B640,Tabla1[],2,0)</f>
        <v>27.9</v>
      </c>
      <c r="H640" s="24">
        <f>+G640/0.72</f>
        <v>38.75</v>
      </c>
      <c r="I640" s="24">
        <f>+H640*1.21</f>
        <v>46.887499999999996</v>
      </c>
      <c r="J640" s="24" t="s">
        <v>2359</v>
      </c>
      <c r="K640" s="24" t="s">
        <v>2365</v>
      </c>
      <c r="L640" t="s">
        <v>1392</v>
      </c>
      <c r="M640" t="s">
        <v>1412</v>
      </c>
      <c r="N640" t="s">
        <v>1425</v>
      </c>
      <c r="O640" t="s">
        <v>1428</v>
      </c>
      <c r="P640" t="s">
        <v>1429</v>
      </c>
      <c r="Q640">
        <v>47</v>
      </c>
      <c r="R640" s="2">
        <v>8457780312663</v>
      </c>
      <c r="S640" s="3" t="s">
        <v>1225</v>
      </c>
      <c r="T640" t="s">
        <v>1367</v>
      </c>
      <c r="U640" t="s">
        <v>1368</v>
      </c>
    </row>
    <row r="641" spans="1:21" x14ac:dyDescent="0.25">
      <c r="A641" t="s">
        <v>577</v>
      </c>
      <c r="B641" t="s">
        <v>2261</v>
      </c>
      <c r="C641" t="s">
        <v>591</v>
      </c>
      <c r="D641" t="s">
        <v>1473</v>
      </c>
      <c r="E641" t="str">
        <f>+CONCATENATE(D641,". FABRICADO EN ",M641,". PUNTERA DE ",N641,". PLANTILLA ",O641,". SUELA DE ",P641)</f>
        <v>ZAPATO MF S3+CI+SRC+ESD Negro 48. FABRICADO EN MICROFIBRA + TEJIDO REFLECTANTE . PUNTERA DE Fibra de vidrio. PLANTILLA Antiperforación textil. SUELA DE PU/PU DOBLE DENSIDAD</v>
      </c>
      <c r="F641" t="str">
        <f>PROPER(E641)</f>
        <v>Zapato Mf S3+Ci+Src+Esd Negro 48. Fabricado En Microfibra + Tejido Reflectante . Puntera De Fibra De Vidrio. Plantilla Antiperforación Textil. Suela De Pu/Pu Doble Densidad</v>
      </c>
      <c r="G641" s="24">
        <f>VLOOKUP(B641,Tabla1[],2,0)</f>
        <v>27.9</v>
      </c>
      <c r="H641" s="24">
        <f>+G641/0.72</f>
        <v>38.75</v>
      </c>
      <c r="I641" s="24">
        <f>+H641*1.21</f>
        <v>46.887499999999996</v>
      </c>
      <c r="J641" s="24" t="s">
        <v>2359</v>
      </c>
      <c r="K641" s="24" t="s">
        <v>2365</v>
      </c>
      <c r="L641" t="s">
        <v>1392</v>
      </c>
      <c r="M641" t="s">
        <v>1412</v>
      </c>
      <c r="N641" t="s">
        <v>1425</v>
      </c>
      <c r="O641" t="s">
        <v>1428</v>
      </c>
      <c r="P641" t="s">
        <v>1429</v>
      </c>
      <c r="Q641">
        <v>48</v>
      </c>
      <c r="R641" s="2">
        <v>8457780312670</v>
      </c>
      <c r="S641" s="3" t="s">
        <v>1226</v>
      </c>
      <c r="T641" t="s">
        <v>1367</v>
      </c>
      <c r="U641" t="s">
        <v>1368</v>
      </c>
    </row>
    <row r="642" spans="1:21" x14ac:dyDescent="0.25">
      <c r="A642" t="s">
        <v>592</v>
      </c>
      <c r="B642" t="s">
        <v>2262</v>
      </c>
      <c r="C642" t="s">
        <v>593</v>
      </c>
      <c r="D642" t="s">
        <v>1920</v>
      </c>
      <c r="E642" t="str">
        <f>+CONCATENATE(D642,". FABRICADO EN ",M642,". PUNTERA DE ",N642,". PLANTILLA ",O642,". SUELA DE ",P642)</f>
        <v>ZAPATO S3S +CI+HI+ FO+SR+ESD Gris 35. FABRICADO EN MICROFIBRA ACABADO NOBUCK. PUNTERA DE Fibra de vidrio. PLANTILLA Antiperforación textil. SUELA DE EVA/CAUCHO-NITRILO</v>
      </c>
      <c r="F642" t="str">
        <f>PROPER(E642)</f>
        <v>Zapato S3S +Ci+Hi+ Fo+Sr+Esd Gris 35. Fabricado En Microfibra Acabado Nobuck. Puntera De Fibra De Vidrio. Plantilla Antiperforación Textil. Suela De Eva/Caucho-Nitrilo</v>
      </c>
      <c r="G642" s="24">
        <f>VLOOKUP(B642,Tabla1[],2,0)</f>
        <v>39.9</v>
      </c>
      <c r="H642" s="24">
        <f>+G642/0.72</f>
        <v>55.416666666666664</v>
      </c>
      <c r="I642" s="24">
        <f>+H642*1.21</f>
        <v>67.05416666666666</v>
      </c>
      <c r="J642" s="24" t="s">
        <v>2359</v>
      </c>
      <c r="K642" s="24" t="s">
        <v>2365</v>
      </c>
      <c r="L642" t="s">
        <v>1399</v>
      </c>
      <c r="M642" t="s">
        <v>1422</v>
      </c>
      <c r="N642" t="s">
        <v>1425</v>
      </c>
      <c r="O642" t="s">
        <v>1428</v>
      </c>
      <c r="P642" t="s">
        <v>1431</v>
      </c>
      <c r="Q642">
        <v>35</v>
      </c>
      <c r="R642" s="2">
        <v>8457780337123</v>
      </c>
      <c r="S642" s="3" t="s">
        <v>1227</v>
      </c>
      <c r="T642" s="1" t="s">
        <v>1326</v>
      </c>
    </row>
    <row r="643" spans="1:21" x14ac:dyDescent="0.25">
      <c r="A643" t="s">
        <v>592</v>
      </c>
      <c r="B643" t="s">
        <v>2262</v>
      </c>
      <c r="C643" t="s">
        <v>594</v>
      </c>
      <c r="D643" t="s">
        <v>1921</v>
      </c>
      <c r="E643" t="str">
        <f>+CONCATENATE(D643,". FABRICADO EN ",M643,". PUNTERA DE ",N643,". PLANTILLA ",O643,". SUELA DE ",P643)</f>
        <v>ZAPATO S3S +CI+HI+ FO+SR+ESD Gris 36. FABRICADO EN MICROFIBRA ACABADO NOBUCK. PUNTERA DE Fibra de vidrio. PLANTILLA Antiperforación textil. SUELA DE EVA/CAUCHO-NITRILO</v>
      </c>
      <c r="F643" t="str">
        <f>PROPER(E643)</f>
        <v>Zapato S3S +Ci+Hi+ Fo+Sr+Esd Gris 36. Fabricado En Microfibra Acabado Nobuck. Puntera De Fibra De Vidrio. Plantilla Antiperforación Textil. Suela De Eva/Caucho-Nitrilo</v>
      </c>
      <c r="G643" s="24">
        <f>VLOOKUP(B643,Tabla1[],2,0)</f>
        <v>39.9</v>
      </c>
      <c r="H643" s="24">
        <f>+G643/0.72</f>
        <v>55.416666666666664</v>
      </c>
      <c r="I643" s="24">
        <f>+H643*1.21</f>
        <v>67.05416666666666</v>
      </c>
      <c r="J643" s="24" t="s">
        <v>2359</v>
      </c>
      <c r="K643" s="24" t="s">
        <v>2365</v>
      </c>
      <c r="L643" t="s">
        <v>1399</v>
      </c>
      <c r="M643" t="s">
        <v>1422</v>
      </c>
      <c r="N643" t="s">
        <v>1425</v>
      </c>
      <c r="O643" t="s">
        <v>1428</v>
      </c>
      <c r="P643" t="s">
        <v>1431</v>
      </c>
      <c r="Q643">
        <v>36</v>
      </c>
      <c r="R643" s="2">
        <v>8457780337130</v>
      </c>
      <c r="S643" s="3" t="s">
        <v>1228</v>
      </c>
      <c r="T643" s="1" t="s">
        <v>1326</v>
      </c>
    </row>
    <row r="644" spans="1:21" x14ac:dyDescent="0.25">
      <c r="A644" t="s">
        <v>592</v>
      </c>
      <c r="B644" t="s">
        <v>2262</v>
      </c>
      <c r="C644" t="s">
        <v>595</v>
      </c>
      <c r="D644" t="s">
        <v>1922</v>
      </c>
      <c r="E644" t="str">
        <f>+CONCATENATE(D644,". FABRICADO EN ",M644,". PUNTERA DE ",N644,". PLANTILLA ",O644,". SUELA DE ",P644)</f>
        <v>ZAPATO S3S +CI+HI+ FO+SR+ESD Gris 37. FABRICADO EN MICROFIBRA ACABADO NOBUCK. PUNTERA DE Fibra de vidrio. PLANTILLA Antiperforación textil. SUELA DE EVA/CAUCHO-NITRILO</v>
      </c>
      <c r="F644" t="str">
        <f>PROPER(E644)</f>
        <v>Zapato S3S +Ci+Hi+ Fo+Sr+Esd Gris 37. Fabricado En Microfibra Acabado Nobuck. Puntera De Fibra De Vidrio. Plantilla Antiperforación Textil. Suela De Eva/Caucho-Nitrilo</v>
      </c>
      <c r="G644" s="24">
        <f>VLOOKUP(B644,Tabla1[],2,0)</f>
        <v>39.9</v>
      </c>
      <c r="H644" s="24">
        <f>+G644/0.72</f>
        <v>55.416666666666664</v>
      </c>
      <c r="I644" s="24">
        <f>+H644*1.21</f>
        <v>67.05416666666666</v>
      </c>
      <c r="J644" s="24" t="s">
        <v>2359</v>
      </c>
      <c r="K644" s="24" t="s">
        <v>2365</v>
      </c>
      <c r="L644" t="s">
        <v>1399</v>
      </c>
      <c r="M644" t="s">
        <v>1422</v>
      </c>
      <c r="N644" t="s">
        <v>1425</v>
      </c>
      <c r="O644" t="s">
        <v>1428</v>
      </c>
      <c r="P644" t="s">
        <v>1431</v>
      </c>
      <c r="Q644">
        <v>37</v>
      </c>
      <c r="R644" s="2">
        <v>8457780337147</v>
      </c>
      <c r="S644" s="3" t="s">
        <v>1229</v>
      </c>
      <c r="T644" s="1" t="s">
        <v>1326</v>
      </c>
    </row>
    <row r="645" spans="1:21" x14ac:dyDescent="0.25">
      <c r="A645" t="s">
        <v>592</v>
      </c>
      <c r="B645" t="s">
        <v>2262</v>
      </c>
      <c r="C645" t="s">
        <v>596</v>
      </c>
      <c r="D645" t="s">
        <v>1923</v>
      </c>
      <c r="E645" t="str">
        <f>+CONCATENATE(D645,". FABRICADO EN ",M645,". PUNTERA DE ",N645,". PLANTILLA ",O645,". SUELA DE ",P645)</f>
        <v>ZAPATO S3S +CI+HI+ FO+SR+ESD Gris 38. FABRICADO EN MICROFIBRA ACABADO NOBUCK. PUNTERA DE Fibra de vidrio. PLANTILLA Antiperforación textil. SUELA DE EVA/CAUCHO-NITRILO</v>
      </c>
      <c r="F645" t="str">
        <f>PROPER(E645)</f>
        <v>Zapato S3S +Ci+Hi+ Fo+Sr+Esd Gris 38. Fabricado En Microfibra Acabado Nobuck. Puntera De Fibra De Vidrio. Plantilla Antiperforación Textil. Suela De Eva/Caucho-Nitrilo</v>
      </c>
      <c r="G645" s="24">
        <f>VLOOKUP(B645,Tabla1[],2,0)</f>
        <v>39.9</v>
      </c>
      <c r="H645" s="24">
        <f>+G645/0.72</f>
        <v>55.416666666666664</v>
      </c>
      <c r="I645" s="24">
        <f>+H645*1.21</f>
        <v>67.05416666666666</v>
      </c>
      <c r="J645" s="24" t="s">
        <v>2359</v>
      </c>
      <c r="K645" s="24" t="s">
        <v>2365</v>
      </c>
      <c r="L645" t="s">
        <v>1399</v>
      </c>
      <c r="M645" t="s">
        <v>1422</v>
      </c>
      <c r="N645" t="s">
        <v>1425</v>
      </c>
      <c r="O645" t="s">
        <v>1428</v>
      </c>
      <c r="P645" t="s">
        <v>1431</v>
      </c>
      <c r="Q645">
        <v>38</v>
      </c>
      <c r="R645" s="2">
        <v>8457780337154</v>
      </c>
      <c r="S645" s="3" t="s">
        <v>1230</v>
      </c>
      <c r="T645" s="1" t="s">
        <v>1326</v>
      </c>
    </row>
    <row r="646" spans="1:21" x14ac:dyDescent="0.25">
      <c r="A646" t="s">
        <v>592</v>
      </c>
      <c r="B646" t="s">
        <v>2262</v>
      </c>
      <c r="C646" t="s">
        <v>597</v>
      </c>
      <c r="D646" t="s">
        <v>1924</v>
      </c>
      <c r="E646" t="str">
        <f>+CONCATENATE(D646,". FABRICADO EN ",M646,". PUNTERA DE ",N646,". PLANTILLA ",O646,". SUELA DE ",P646)</f>
        <v>ZAPATO S3S +CI+HI+ FO+SR+ESD Gris 39. FABRICADO EN MICROFIBRA ACABADO NOBUCK. PUNTERA DE Fibra de vidrio. PLANTILLA Antiperforación textil. SUELA DE EVA/CAUCHO-NITRILO</v>
      </c>
      <c r="F646" t="str">
        <f>PROPER(E646)</f>
        <v>Zapato S3S +Ci+Hi+ Fo+Sr+Esd Gris 39. Fabricado En Microfibra Acabado Nobuck. Puntera De Fibra De Vidrio. Plantilla Antiperforación Textil. Suela De Eva/Caucho-Nitrilo</v>
      </c>
      <c r="G646" s="24">
        <f>VLOOKUP(B646,Tabla1[],2,0)</f>
        <v>39.9</v>
      </c>
      <c r="H646" s="24">
        <f>+G646/0.72</f>
        <v>55.416666666666664</v>
      </c>
      <c r="I646" s="24">
        <f>+H646*1.21</f>
        <v>67.05416666666666</v>
      </c>
      <c r="J646" s="24" t="s">
        <v>2359</v>
      </c>
      <c r="K646" s="24" t="s">
        <v>2365</v>
      </c>
      <c r="L646" t="s">
        <v>1399</v>
      </c>
      <c r="M646" t="s">
        <v>1422</v>
      </c>
      <c r="N646" t="s">
        <v>1425</v>
      </c>
      <c r="O646" t="s">
        <v>1428</v>
      </c>
      <c r="P646" t="s">
        <v>1431</v>
      </c>
      <c r="Q646">
        <v>39</v>
      </c>
      <c r="R646" s="2">
        <v>8457780337161</v>
      </c>
      <c r="S646" s="3" t="s">
        <v>1231</v>
      </c>
      <c r="T646" s="1" t="s">
        <v>1326</v>
      </c>
    </row>
    <row r="647" spans="1:21" x14ac:dyDescent="0.25">
      <c r="A647" t="s">
        <v>592</v>
      </c>
      <c r="B647" t="s">
        <v>2262</v>
      </c>
      <c r="C647" t="s">
        <v>598</v>
      </c>
      <c r="D647" t="s">
        <v>1925</v>
      </c>
      <c r="E647" t="str">
        <f>+CONCATENATE(D647,". FABRICADO EN ",M647,". PUNTERA DE ",N647,". PLANTILLA ",O647,". SUELA DE ",P647)</f>
        <v>ZAPATO S3S +CI+HI+ FO+SR+ESD Gris 40. FABRICADO EN MICROFIBRA ACABADO NOBUCK. PUNTERA DE Fibra de vidrio. PLANTILLA Antiperforación textil. SUELA DE EVA/CAUCHO-NITRILO</v>
      </c>
      <c r="F647" t="str">
        <f>PROPER(E647)</f>
        <v>Zapato S3S +Ci+Hi+ Fo+Sr+Esd Gris 40. Fabricado En Microfibra Acabado Nobuck. Puntera De Fibra De Vidrio. Plantilla Antiperforación Textil. Suela De Eva/Caucho-Nitrilo</v>
      </c>
      <c r="G647" s="24">
        <f>VLOOKUP(B647,Tabla1[],2,0)</f>
        <v>39.9</v>
      </c>
      <c r="H647" s="24">
        <f>+G647/0.72</f>
        <v>55.416666666666664</v>
      </c>
      <c r="I647" s="24">
        <f>+H647*1.21</f>
        <v>67.05416666666666</v>
      </c>
      <c r="J647" s="24" t="s">
        <v>2359</v>
      </c>
      <c r="K647" s="24" t="s">
        <v>2365</v>
      </c>
      <c r="L647" t="s">
        <v>1399</v>
      </c>
      <c r="M647" t="s">
        <v>1422</v>
      </c>
      <c r="N647" t="s">
        <v>1425</v>
      </c>
      <c r="O647" t="s">
        <v>1428</v>
      </c>
      <c r="P647" t="s">
        <v>1431</v>
      </c>
      <c r="Q647">
        <v>40</v>
      </c>
      <c r="R647" s="2">
        <v>8457780337178</v>
      </c>
      <c r="S647" s="3" t="s">
        <v>1232</v>
      </c>
      <c r="T647" s="1" t="s">
        <v>1326</v>
      </c>
    </row>
    <row r="648" spans="1:21" x14ac:dyDescent="0.25">
      <c r="A648" t="s">
        <v>592</v>
      </c>
      <c r="B648" t="s">
        <v>2262</v>
      </c>
      <c r="C648" t="s">
        <v>599</v>
      </c>
      <c r="D648" t="s">
        <v>1926</v>
      </c>
      <c r="E648" t="str">
        <f>+CONCATENATE(D648,". FABRICADO EN ",M648,". PUNTERA DE ",N648,". PLANTILLA ",O648,". SUELA DE ",P648)</f>
        <v>ZAPATO S3S +CI+HI+ FO+SR+ESD Gris 41. FABRICADO EN MICROFIBRA ACABADO NOBUCK. PUNTERA DE Fibra de vidrio. PLANTILLA Antiperforación textil. SUELA DE EVA/CAUCHO-NITRILO</v>
      </c>
      <c r="F648" t="str">
        <f>PROPER(E648)</f>
        <v>Zapato S3S +Ci+Hi+ Fo+Sr+Esd Gris 41. Fabricado En Microfibra Acabado Nobuck. Puntera De Fibra De Vidrio. Plantilla Antiperforación Textil. Suela De Eva/Caucho-Nitrilo</v>
      </c>
      <c r="G648" s="24">
        <f>VLOOKUP(B648,Tabla1[],2,0)</f>
        <v>39.9</v>
      </c>
      <c r="H648" s="24">
        <f>+G648/0.72</f>
        <v>55.416666666666664</v>
      </c>
      <c r="I648" s="24">
        <f>+H648*1.21</f>
        <v>67.05416666666666</v>
      </c>
      <c r="J648" s="24" t="s">
        <v>2359</v>
      </c>
      <c r="K648" s="24" t="s">
        <v>2365</v>
      </c>
      <c r="L648" t="s">
        <v>1399</v>
      </c>
      <c r="M648" t="s">
        <v>1422</v>
      </c>
      <c r="N648" t="s">
        <v>1425</v>
      </c>
      <c r="O648" t="s">
        <v>1428</v>
      </c>
      <c r="P648" t="s">
        <v>1431</v>
      </c>
      <c r="Q648">
        <v>41</v>
      </c>
      <c r="R648" s="2">
        <v>8457780337185</v>
      </c>
      <c r="S648" s="3" t="s">
        <v>1233</v>
      </c>
      <c r="T648" s="1" t="s">
        <v>1326</v>
      </c>
    </row>
    <row r="649" spans="1:21" x14ac:dyDescent="0.25">
      <c r="A649" t="s">
        <v>592</v>
      </c>
      <c r="B649" t="s">
        <v>2262</v>
      </c>
      <c r="C649" t="s">
        <v>600</v>
      </c>
      <c r="D649" t="s">
        <v>1927</v>
      </c>
      <c r="E649" t="str">
        <f>+CONCATENATE(D649,". FABRICADO EN ",M649,". PUNTERA DE ",N649,". PLANTILLA ",O649,". SUELA DE ",P649)</f>
        <v>ZAPATO S3S +CI+HI+ FO+SR+ESD Gris 42. FABRICADO EN MICROFIBRA ACABADO NOBUCK. PUNTERA DE Fibra de vidrio. PLANTILLA Antiperforación textil. SUELA DE EVA/CAUCHO-NITRILO</v>
      </c>
      <c r="F649" t="str">
        <f>PROPER(E649)</f>
        <v>Zapato S3S +Ci+Hi+ Fo+Sr+Esd Gris 42. Fabricado En Microfibra Acabado Nobuck. Puntera De Fibra De Vidrio. Plantilla Antiperforación Textil. Suela De Eva/Caucho-Nitrilo</v>
      </c>
      <c r="G649" s="24">
        <f>VLOOKUP(B649,Tabla1[],2,0)</f>
        <v>39.9</v>
      </c>
      <c r="H649" s="24">
        <f>+G649/0.72</f>
        <v>55.416666666666664</v>
      </c>
      <c r="I649" s="24">
        <f>+H649*1.21</f>
        <v>67.05416666666666</v>
      </c>
      <c r="J649" s="24" t="s">
        <v>2359</v>
      </c>
      <c r="K649" s="24" t="s">
        <v>2365</v>
      </c>
      <c r="L649" t="s">
        <v>1399</v>
      </c>
      <c r="M649" t="s">
        <v>1422</v>
      </c>
      <c r="N649" t="s">
        <v>1425</v>
      </c>
      <c r="O649" t="s">
        <v>1428</v>
      </c>
      <c r="P649" t="s">
        <v>1431</v>
      </c>
      <c r="Q649">
        <v>42</v>
      </c>
      <c r="R649" s="2">
        <v>8457780337192</v>
      </c>
      <c r="S649" s="3" t="s">
        <v>1234</v>
      </c>
      <c r="T649" s="1" t="s">
        <v>1326</v>
      </c>
    </row>
    <row r="650" spans="1:21" x14ac:dyDescent="0.25">
      <c r="A650" t="s">
        <v>592</v>
      </c>
      <c r="B650" t="s">
        <v>2262</v>
      </c>
      <c r="C650" t="s">
        <v>601</v>
      </c>
      <c r="D650" t="s">
        <v>1928</v>
      </c>
      <c r="E650" t="str">
        <f>+CONCATENATE(D650,". FABRICADO EN ",M650,". PUNTERA DE ",N650,". PLANTILLA ",O650,". SUELA DE ",P650)</f>
        <v>ZAPATO S3S +CI+HI+ FO+SR+ESD Gris 43. FABRICADO EN MICROFIBRA ACABADO NOBUCK. PUNTERA DE Fibra de vidrio. PLANTILLA Antiperforación textil. SUELA DE EVA/CAUCHO-NITRILO</v>
      </c>
      <c r="F650" t="str">
        <f>PROPER(E650)</f>
        <v>Zapato S3S +Ci+Hi+ Fo+Sr+Esd Gris 43. Fabricado En Microfibra Acabado Nobuck. Puntera De Fibra De Vidrio. Plantilla Antiperforación Textil. Suela De Eva/Caucho-Nitrilo</v>
      </c>
      <c r="G650" s="24">
        <f>VLOOKUP(B650,Tabla1[],2,0)</f>
        <v>39.9</v>
      </c>
      <c r="H650" s="24">
        <f>+G650/0.72</f>
        <v>55.416666666666664</v>
      </c>
      <c r="I650" s="24">
        <f>+H650*1.21</f>
        <v>67.05416666666666</v>
      </c>
      <c r="J650" s="24" t="s">
        <v>2359</v>
      </c>
      <c r="K650" s="24" t="s">
        <v>2365</v>
      </c>
      <c r="L650" t="s">
        <v>1399</v>
      </c>
      <c r="M650" t="s">
        <v>1422</v>
      </c>
      <c r="N650" t="s">
        <v>1425</v>
      </c>
      <c r="O650" t="s">
        <v>1428</v>
      </c>
      <c r="P650" t="s">
        <v>1431</v>
      </c>
      <c r="Q650">
        <v>43</v>
      </c>
      <c r="R650" s="2">
        <v>8457780337208</v>
      </c>
      <c r="S650" s="3" t="s">
        <v>1235</v>
      </c>
      <c r="T650" s="1" t="s">
        <v>1326</v>
      </c>
    </row>
    <row r="651" spans="1:21" x14ac:dyDescent="0.25">
      <c r="A651" t="s">
        <v>592</v>
      </c>
      <c r="B651" t="s">
        <v>2262</v>
      </c>
      <c r="C651" t="s">
        <v>602</v>
      </c>
      <c r="D651" t="s">
        <v>1929</v>
      </c>
      <c r="E651" t="str">
        <f>+CONCATENATE(D651,". FABRICADO EN ",M651,". PUNTERA DE ",N651,". PLANTILLA ",O651,". SUELA DE ",P651)</f>
        <v>ZAPATO S3S +CI+HI+ FO+SR+ESD Gris 44. FABRICADO EN MICROFIBRA ACABADO NOBUCK. PUNTERA DE Fibra de vidrio. PLANTILLA Antiperforación textil. SUELA DE EVA/CAUCHO-NITRILO</v>
      </c>
      <c r="F651" t="str">
        <f>PROPER(E651)</f>
        <v>Zapato S3S +Ci+Hi+ Fo+Sr+Esd Gris 44. Fabricado En Microfibra Acabado Nobuck. Puntera De Fibra De Vidrio. Plantilla Antiperforación Textil. Suela De Eva/Caucho-Nitrilo</v>
      </c>
      <c r="G651" s="24">
        <f>VLOOKUP(B651,Tabla1[],2,0)</f>
        <v>39.9</v>
      </c>
      <c r="H651" s="24">
        <f>+G651/0.72</f>
        <v>55.416666666666664</v>
      </c>
      <c r="I651" s="24">
        <f>+H651*1.21</f>
        <v>67.05416666666666</v>
      </c>
      <c r="J651" s="24" t="s">
        <v>2359</v>
      </c>
      <c r="K651" s="24" t="s">
        <v>2365</v>
      </c>
      <c r="L651" t="s">
        <v>1399</v>
      </c>
      <c r="M651" t="s">
        <v>1422</v>
      </c>
      <c r="N651" t="s">
        <v>1425</v>
      </c>
      <c r="O651" t="s">
        <v>1428</v>
      </c>
      <c r="P651" t="s">
        <v>1431</v>
      </c>
      <c r="Q651">
        <v>44</v>
      </c>
      <c r="R651" s="2">
        <v>8457780337215</v>
      </c>
      <c r="S651" s="3" t="s">
        <v>1236</v>
      </c>
      <c r="T651" s="1" t="s">
        <v>1326</v>
      </c>
    </row>
    <row r="652" spans="1:21" x14ac:dyDescent="0.25">
      <c r="A652" t="s">
        <v>592</v>
      </c>
      <c r="B652" t="s">
        <v>2262</v>
      </c>
      <c r="C652" t="s">
        <v>603</v>
      </c>
      <c r="D652" t="s">
        <v>1930</v>
      </c>
      <c r="E652" t="str">
        <f>+CONCATENATE(D652,". FABRICADO EN ",M652,". PUNTERA DE ",N652,". PLANTILLA ",O652,". SUELA DE ",P652)</f>
        <v>ZAPATO S3S +CI+HI+ FO+SR+ESD Gris 45. FABRICADO EN MICROFIBRA ACABADO NOBUCK. PUNTERA DE Fibra de vidrio. PLANTILLA Antiperforación textil. SUELA DE EVA/CAUCHO-NITRILO</v>
      </c>
      <c r="F652" t="str">
        <f>PROPER(E652)</f>
        <v>Zapato S3S +Ci+Hi+ Fo+Sr+Esd Gris 45. Fabricado En Microfibra Acabado Nobuck. Puntera De Fibra De Vidrio. Plantilla Antiperforación Textil. Suela De Eva/Caucho-Nitrilo</v>
      </c>
      <c r="G652" s="24">
        <f>VLOOKUP(B652,Tabla1[],2,0)</f>
        <v>39.9</v>
      </c>
      <c r="H652" s="24">
        <f>+G652/0.72</f>
        <v>55.416666666666664</v>
      </c>
      <c r="I652" s="24">
        <f>+H652*1.21</f>
        <v>67.05416666666666</v>
      </c>
      <c r="J652" s="24" t="s">
        <v>2359</v>
      </c>
      <c r="K652" s="24" t="s">
        <v>2365</v>
      </c>
      <c r="L652" t="s">
        <v>1399</v>
      </c>
      <c r="M652" t="s">
        <v>1422</v>
      </c>
      <c r="N652" t="s">
        <v>1425</v>
      </c>
      <c r="O652" t="s">
        <v>1428</v>
      </c>
      <c r="P652" t="s">
        <v>1431</v>
      </c>
      <c r="Q652">
        <v>45</v>
      </c>
      <c r="R652" s="2">
        <v>8457780337222</v>
      </c>
      <c r="S652" s="3" t="s">
        <v>1237</v>
      </c>
      <c r="T652" s="1" t="s">
        <v>1326</v>
      </c>
    </row>
    <row r="653" spans="1:21" x14ac:dyDescent="0.25">
      <c r="A653" t="s">
        <v>592</v>
      </c>
      <c r="B653" t="s">
        <v>2262</v>
      </c>
      <c r="C653" t="s">
        <v>604</v>
      </c>
      <c r="D653" t="s">
        <v>1931</v>
      </c>
      <c r="E653" t="str">
        <f>+CONCATENATE(D653,". FABRICADO EN ",M653,". PUNTERA DE ",N653,". PLANTILLA ",O653,". SUELA DE ",P653)</f>
        <v>ZAPATO S3S +CI+HI+ FO+SR+ESD Gris 46. FABRICADO EN MICROFIBRA ACABADO NOBUCK. PUNTERA DE Fibra de vidrio. PLANTILLA Antiperforación textil. SUELA DE EVA/CAUCHO-NITRILO</v>
      </c>
      <c r="F653" t="str">
        <f>PROPER(E653)</f>
        <v>Zapato S3S +Ci+Hi+ Fo+Sr+Esd Gris 46. Fabricado En Microfibra Acabado Nobuck. Puntera De Fibra De Vidrio. Plantilla Antiperforación Textil. Suela De Eva/Caucho-Nitrilo</v>
      </c>
      <c r="G653" s="24">
        <f>VLOOKUP(B653,Tabla1[],2,0)</f>
        <v>39.9</v>
      </c>
      <c r="H653" s="24">
        <f>+G653/0.72</f>
        <v>55.416666666666664</v>
      </c>
      <c r="I653" s="24">
        <f>+H653*1.21</f>
        <v>67.05416666666666</v>
      </c>
      <c r="J653" s="24" t="s">
        <v>2359</v>
      </c>
      <c r="K653" s="24" t="s">
        <v>2365</v>
      </c>
      <c r="L653" t="s">
        <v>1399</v>
      </c>
      <c r="M653" t="s">
        <v>1422</v>
      </c>
      <c r="N653" t="s">
        <v>1425</v>
      </c>
      <c r="O653" t="s">
        <v>1428</v>
      </c>
      <c r="P653" t="s">
        <v>1431</v>
      </c>
      <c r="Q653">
        <v>46</v>
      </c>
      <c r="R653" s="2">
        <v>8457780337239</v>
      </c>
      <c r="S653" s="3" t="s">
        <v>1238</v>
      </c>
      <c r="T653" s="1" t="s">
        <v>1326</v>
      </c>
    </row>
    <row r="654" spans="1:21" x14ac:dyDescent="0.25">
      <c r="A654" t="s">
        <v>592</v>
      </c>
      <c r="B654" t="s">
        <v>2262</v>
      </c>
      <c r="C654" t="s">
        <v>605</v>
      </c>
      <c r="D654" t="s">
        <v>1932</v>
      </c>
      <c r="E654" t="str">
        <f>+CONCATENATE(D654,". FABRICADO EN ",M654,". PUNTERA DE ",N654,". PLANTILLA ",O654,". SUELA DE ",P654)</f>
        <v>ZAPATO S3S +CI+HI+ FO+SR+ESD Gris 47. FABRICADO EN MICROFIBRA ACABADO NOBUCK. PUNTERA DE Fibra de vidrio. PLANTILLA Antiperforación textil. SUELA DE EVA/CAUCHO-NITRILO</v>
      </c>
      <c r="F654" t="str">
        <f>PROPER(E654)</f>
        <v>Zapato S3S +Ci+Hi+ Fo+Sr+Esd Gris 47. Fabricado En Microfibra Acabado Nobuck. Puntera De Fibra De Vidrio. Plantilla Antiperforación Textil. Suela De Eva/Caucho-Nitrilo</v>
      </c>
      <c r="G654" s="24">
        <f>VLOOKUP(B654,Tabla1[],2,0)</f>
        <v>39.9</v>
      </c>
      <c r="H654" s="24">
        <f>+G654/0.72</f>
        <v>55.416666666666664</v>
      </c>
      <c r="I654" s="24">
        <f>+H654*1.21</f>
        <v>67.05416666666666</v>
      </c>
      <c r="J654" s="24" t="s">
        <v>2359</v>
      </c>
      <c r="K654" s="24" t="s">
        <v>2365</v>
      </c>
      <c r="L654" t="s">
        <v>1399</v>
      </c>
      <c r="M654" t="s">
        <v>1422</v>
      </c>
      <c r="N654" t="s">
        <v>1425</v>
      </c>
      <c r="O654" t="s">
        <v>1428</v>
      </c>
      <c r="P654" t="s">
        <v>1431</v>
      </c>
      <c r="Q654">
        <v>47</v>
      </c>
      <c r="R654" s="2">
        <v>8457780337246</v>
      </c>
      <c r="S654" s="3" t="s">
        <v>1239</v>
      </c>
      <c r="T654" s="1" t="s">
        <v>1326</v>
      </c>
    </row>
    <row r="655" spans="1:21" x14ac:dyDescent="0.25">
      <c r="A655" t="s">
        <v>592</v>
      </c>
      <c r="B655" t="s">
        <v>2262</v>
      </c>
      <c r="C655" t="s">
        <v>606</v>
      </c>
      <c r="D655" t="s">
        <v>1933</v>
      </c>
      <c r="E655" t="str">
        <f>+CONCATENATE(D655,". FABRICADO EN ",M655,". PUNTERA DE ",N655,". PLANTILLA ",O655,". SUELA DE ",P655)</f>
        <v>ZAPATO S3S +CI+HI+ FO+SR+ESD Gris 48. FABRICADO EN MICROFIBRA ACABADO NOBUCK. PUNTERA DE Fibra de vidrio. PLANTILLA Antiperforación textil. SUELA DE EVA/CAUCHO-NITRILO</v>
      </c>
      <c r="F655" t="str">
        <f>PROPER(E655)</f>
        <v>Zapato S3S +Ci+Hi+ Fo+Sr+Esd Gris 48. Fabricado En Microfibra Acabado Nobuck. Puntera De Fibra De Vidrio. Plantilla Antiperforación Textil. Suela De Eva/Caucho-Nitrilo</v>
      </c>
      <c r="G655" s="24">
        <f>VLOOKUP(B655,Tabla1[],2,0)</f>
        <v>39.9</v>
      </c>
      <c r="H655" s="24">
        <f>+G655/0.72</f>
        <v>55.416666666666664</v>
      </c>
      <c r="I655" s="24">
        <f>+H655*1.21</f>
        <v>67.05416666666666</v>
      </c>
      <c r="J655" s="24" t="s">
        <v>2359</v>
      </c>
      <c r="K655" s="24" t="s">
        <v>2365</v>
      </c>
      <c r="L655" t="s">
        <v>1399</v>
      </c>
      <c r="M655" t="s">
        <v>1422</v>
      </c>
      <c r="N655" t="s">
        <v>1425</v>
      </c>
      <c r="O655" t="s">
        <v>1428</v>
      </c>
      <c r="P655" t="s">
        <v>1431</v>
      </c>
      <c r="Q655">
        <v>48</v>
      </c>
      <c r="R655" s="2">
        <v>8457780337253</v>
      </c>
      <c r="S655" s="3" t="s">
        <v>1240</v>
      </c>
      <c r="T655" s="1" t="s">
        <v>1326</v>
      </c>
    </row>
    <row r="656" spans="1:21" x14ac:dyDescent="0.25">
      <c r="A656" t="s">
        <v>607</v>
      </c>
      <c r="B656" t="s">
        <v>2263</v>
      </c>
      <c r="C656" t="s">
        <v>608</v>
      </c>
      <c r="D656" t="s">
        <v>1934</v>
      </c>
      <c r="E656" t="str">
        <f>+CONCATENATE(D656,". FABRICADO EN ",M656,". PUNTERA DE ",N656,". PLANTILLA ",O656,". SUELA DE ",P656)</f>
        <v>ZAPATO 01-FO-SR Negro 35. FABRICADO EN TEXTIL TRANSPIRABLE CON REFUERZO EN PUNTERA. PUNTERA DE No lleva. PLANTILLA No lleva. SUELA DE EVA/CAUCHO-NITRILO</v>
      </c>
      <c r="F656" t="str">
        <f>PROPER(E656)</f>
        <v>Zapato 01-Fo-Sr Negro 35. Fabricado En Textil Transpirable Con Refuerzo En Puntera. Puntera De No Lleva. Plantilla No Lleva. Suela De Eva/Caucho-Nitrilo</v>
      </c>
      <c r="G656" s="24">
        <f>VLOOKUP(B656,Tabla1[],2,0)</f>
        <v>26.5</v>
      </c>
      <c r="H656" s="24">
        <f>+G656/0.72</f>
        <v>36.805555555555557</v>
      </c>
      <c r="I656" s="24">
        <f>+H656*1.21</f>
        <v>44.534722222222221</v>
      </c>
      <c r="J656" s="24" t="s">
        <v>2361</v>
      </c>
      <c r="K656" s="24" t="s">
        <v>2372</v>
      </c>
      <c r="L656" t="s">
        <v>1392</v>
      </c>
      <c r="M656" t="s">
        <v>1410</v>
      </c>
      <c r="N656" t="s">
        <v>1427</v>
      </c>
      <c r="O656" t="s">
        <v>1427</v>
      </c>
      <c r="P656" t="s">
        <v>1431</v>
      </c>
      <c r="Q656">
        <v>35</v>
      </c>
      <c r="R656" s="2">
        <v>8457780313806</v>
      </c>
      <c r="S656" s="3" t="s">
        <v>1241</v>
      </c>
      <c r="T656" t="s">
        <v>1378</v>
      </c>
    </row>
    <row r="657" spans="1:21" x14ac:dyDescent="0.25">
      <c r="A657" t="s">
        <v>607</v>
      </c>
      <c r="B657" t="s">
        <v>2263</v>
      </c>
      <c r="C657" t="s">
        <v>609</v>
      </c>
      <c r="D657" t="s">
        <v>1935</v>
      </c>
      <c r="E657" t="str">
        <f>+CONCATENATE(D657,". FABRICADO EN ",M657,". PUNTERA DE ",N657,". PLANTILLA ",O657,". SUELA DE ",P657)</f>
        <v>ZAPATO 01-FO-SR Negro 36. FABRICADO EN TEXTIL TRANSPIRABLE CON REFUERZO EN PUNTERA. PUNTERA DE No lleva. PLANTILLA No lleva. SUELA DE EVA/CAUCHO-NITRILO</v>
      </c>
      <c r="F657" t="str">
        <f>PROPER(E657)</f>
        <v>Zapato 01-Fo-Sr Negro 36. Fabricado En Textil Transpirable Con Refuerzo En Puntera. Puntera De No Lleva. Plantilla No Lleva. Suela De Eva/Caucho-Nitrilo</v>
      </c>
      <c r="G657" s="24">
        <f>VLOOKUP(B657,Tabla1[],2,0)</f>
        <v>26.5</v>
      </c>
      <c r="H657" s="24">
        <f>+G657/0.72</f>
        <v>36.805555555555557</v>
      </c>
      <c r="I657" s="24">
        <f>+H657*1.21</f>
        <v>44.534722222222221</v>
      </c>
      <c r="J657" s="24" t="s">
        <v>2361</v>
      </c>
      <c r="K657" s="24" t="s">
        <v>2372</v>
      </c>
      <c r="L657" t="s">
        <v>1392</v>
      </c>
      <c r="M657" t="s">
        <v>1410</v>
      </c>
      <c r="N657" t="s">
        <v>1427</v>
      </c>
      <c r="O657" t="s">
        <v>1427</v>
      </c>
      <c r="P657" t="s">
        <v>1431</v>
      </c>
      <c r="Q657">
        <v>36</v>
      </c>
      <c r="R657" s="2">
        <v>8457780313813</v>
      </c>
      <c r="S657" s="3" t="s">
        <v>1242</v>
      </c>
      <c r="T657" t="s">
        <v>1378</v>
      </c>
    </row>
    <row r="658" spans="1:21" x14ac:dyDescent="0.25">
      <c r="A658" t="s">
        <v>607</v>
      </c>
      <c r="B658" t="s">
        <v>2263</v>
      </c>
      <c r="C658" t="s">
        <v>610</v>
      </c>
      <c r="D658" t="s">
        <v>1936</v>
      </c>
      <c r="E658" t="str">
        <f>+CONCATENATE(D658,". FABRICADO EN ",M658,". PUNTERA DE ",N658,". PLANTILLA ",O658,". SUELA DE ",P658)</f>
        <v>ZAPATO 01-FO-SR Negro 37. FABRICADO EN TEXTIL TRANSPIRABLE CON REFUERZO EN PUNTERA. PUNTERA DE No lleva. PLANTILLA No lleva. SUELA DE EVA/CAUCHO-NITRILO</v>
      </c>
      <c r="F658" t="str">
        <f>PROPER(E658)</f>
        <v>Zapato 01-Fo-Sr Negro 37. Fabricado En Textil Transpirable Con Refuerzo En Puntera. Puntera De No Lleva. Plantilla No Lleva. Suela De Eva/Caucho-Nitrilo</v>
      </c>
      <c r="G658" s="24">
        <f>VLOOKUP(B658,Tabla1[],2,0)</f>
        <v>26.5</v>
      </c>
      <c r="H658" s="24">
        <f>+G658/0.72</f>
        <v>36.805555555555557</v>
      </c>
      <c r="I658" s="24">
        <f>+H658*1.21</f>
        <v>44.534722222222221</v>
      </c>
      <c r="J658" s="24" t="s">
        <v>2361</v>
      </c>
      <c r="K658" s="24" t="s">
        <v>2372</v>
      </c>
      <c r="L658" t="s">
        <v>1392</v>
      </c>
      <c r="M658" t="s">
        <v>1410</v>
      </c>
      <c r="N658" t="s">
        <v>1427</v>
      </c>
      <c r="O658" t="s">
        <v>1427</v>
      </c>
      <c r="P658" t="s">
        <v>1431</v>
      </c>
      <c r="Q658">
        <v>37</v>
      </c>
      <c r="R658" s="2">
        <v>8457780313820</v>
      </c>
      <c r="S658" s="3" t="s">
        <v>1243</v>
      </c>
      <c r="T658" t="s">
        <v>1378</v>
      </c>
    </row>
    <row r="659" spans="1:21" x14ac:dyDescent="0.25">
      <c r="A659" t="s">
        <v>607</v>
      </c>
      <c r="B659" t="s">
        <v>2263</v>
      </c>
      <c r="C659" t="s">
        <v>611</v>
      </c>
      <c r="D659" t="s">
        <v>1937</v>
      </c>
      <c r="E659" t="str">
        <f>+CONCATENATE(D659,". FABRICADO EN ",M659,". PUNTERA DE ",N659,". PLANTILLA ",O659,". SUELA DE ",P659)</f>
        <v>ZAPATO 01-FO-SR Negro 38. FABRICADO EN TEXTIL TRANSPIRABLE CON REFUERZO EN PUNTERA. PUNTERA DE No lleva. PLANTILLA No lleva. SUELA DE EVA/CAUCHO-NITRILO</v>
      </c>
      <c r="F659" t="str">
        <f>PROPER(E659)</f>
        <v>Zapato 01-Fo-Sr Negro 38. Fabricado En Textil Transpirable Con Refuerzo En Puntera. Puntera De No Lleva. Plantilla No Lleva. Suela De Eva/Caucho-Nitrilo</v>
      </c>
      <c r="G659" s="24">
        <f>VLOOKUP(B659,Tabla1[],2,0)</f>
        <v>26.5</v>
      </c>
      <c r="H659" s="24">
        <f>+G659/0.72</f>
        <v>36.805555555555557</v>
      </c>
      <c r="I659" s="24">
        <f>+H659*1.21</f>
        <v>44.534722222222221</v>
      </c>
      <c r="J659" s="24" t="s">
        <v>2361</v>
      </c>
      <c r="K659" s="24" t="s">
        <v>2372</v>
      </c>
      <c r="L659" t="s">
        <v>1392</v>
      </c>
      <c r="M659" t="s">
        <v>1410</v>
      </c>
      <c r="N659" t="s">
        <v>1427</v>
      </c>
      <c r="O659" t="s">
        <v>1427</v>
      </c>
      <c r="P659" t="s">
        <v>1431</v>
      </c>
      <c r="Q659">
        <v>38</v>
      </c>
      <c r="R659" s="2">
        <v>8457780313837</v>
      </c>
      <c r="S659" s="3" t="s">
        <v>1244</v>
      </c>
      <c r="T659" t="s">
        <v>1378</v>
      </c>
    </row>
    <row r="660" spans="1:21" x14ac:dyDescent="0.25">
      <c r="A660" t="s">
        <v>607</v>
      </c>
      <c r="B660" t="s">
        <v>2263</v>
      </c>
      <c r="C660" t="s">
        <v>612</v>
      </c>
      <c r="D660" t="s">
        <v>1938</v>
      </c>
      <c r="E660" t="str">
        <f>+CONCATENATE(D660,". FABRICADO EN ",M660,". PUNTERA DE ",N660,". PLANTILLA ",O660,". SUELA DE ",P660)</f>
        <v>ZAPATO 01-FO-SR Negro 39. FABRICADO EN TEXTIL TRANSPIRABLE CON REFUERZO EN PUNTERA. PUNTERA DE No lleva. PLANTILLA No lleva. SUELA DE EVA/CAUCHO-NITRILO</v>
      </c>
      <c r="F660" t="str">
        <f>PROPER(E660)</f>
        <v>Zapato 01-Fo-Sr Negro 39. Fabricado En Textil Transpirable Con Refuerzo En Puntera. Puntera De No Lleva. Plantilla No Lleva. Suela De Eva/Caucho-Nitrilo</v>
      </c>
      <c r="G660" s="24">
        <f>VLOOKUP(B660,Tabla1[],2,0)</f>
        <v>26.5</v>
      </c>
      <c r="H660" s="24">
        <f>+G660/0.72</f>
        <v>36.805555555555557</v>
      </c>
      <c r="I660" s="24">
        <f>+H660*1.21</f>
        <v>44.534722222222221</v>
      </c>
      <c r="J660" s="24" t="s">
        <v>2361</v>
      </c>
      <c r="K660" s="24" t="s">
        <v>2372</v>
      </c>
      <c r="L660" t="s">
        <v>1392</v>
      </c>
      <c r="M660" t="s">
        <v>1410</v>
      </c>
      <c r="N660" t="s">
        <v>1427</v>
      </c>
      <c r="O660" t="s">
        <v>1427</v>
      </c>
      <c r="P660" t="s">
        <v>1431</v>
      </c>
      <c r="Q660">
        <v>39</v>
      </c>
      <c r="R660" s="2">
        <v>8457780313844</v>
      </c>
      <c r="S660" s="3" t="s">
        <v>1245</v>
      </c>
      <c r="T660" t="s">
        <v>1378</v>
      </c>
    </row>
    <row r="661" spans="1:21" x14ac:dyDescent="0.25">
      <c r="A661" t="s">
        <v>607</v>
      </c>
      <c r="B661" t="s">
        <v>2263</v>
      </c>
      <c r="C661" t="s">
        <v>613</v>
      </c>
      <c r="D661" t="s">
        <v>1939</v>
      </c>
      <c r="E661" t="str">
        <f>+CONCATENATE(D661,". FABRICADO EN ",M661,". PUNTERA DE ",N661,". PLANTILLA ",O661,". SUELA DE ",P661)</f>
        <v>ZAPATO 01-FO-SR Negro 40. FABRICADO EN TEXTIL TRANSPIRABLE CON REFUERZO EN PUNTERA. PUNTERA DE No lleva. PLANTILLA No lleva. SUELA DE EVA/CAUCHO-NITRILO</v>
      </c>
      <c r="F661" t="str">
        <f>PROPER(E661)</f>
        <v>Zapato 01-Fo-Sr Negro 40. Fabricado En Textil Transpirable Con Refuerzo En Puntera. Puntera De No Lleva. Plantilla No Lleva. Suela De Eva/Caucho-Nitrilo</v>
      </c>
      <c r="G661" s="24">
        <f>VLOOKUP(B661,Tabla1[],2,0)</f>
        <v>26.5</v>
      </c>
      <c r="H661" s="24">
        <f>+G661/0.72</f>
        <v>36.805555555555557</v>
      </c>
      <c r="I661" s="24">
        <f>+H661*1.21</f>
        <v>44.534722222222221</v>
      </c>
      <c r="J661" s="24" t="s">
        <v>2361</v>
      </c>
      <c r="K661" s="24" t="s">
        <v>2372</v>
      </c>
      <c r="L661" t="s">
        <v>1392</v>
      </c>
      <c r="M661" t="s">
        <v>1410</v>
      </c>
      <c r="N661" t="s">
        <v>1427</v>
      </c>
      <c r="O661" t="s">
        <v>1427</v>
      </c>
      <c r="P661" t="s">
        <v>1431</v>
      </c>
      <c r="Q661">
        <v>40</v>
      </c>
      <c r="R661" s="2">
        <v>8457780313851</v>
      </c>
      <c r="S661" s="3" t="s">
        <v>1246</v>
      </c>
      <c r="T661" t="s">
        <v>1378</v>
      </c>
    </row>
    <row r="662" spans="1:21" x14ac:dyDescent="0.25">
      <c r="A662" t="s">
        <v>607</v>
      </c>
      <c r="B662" t="s">
        <v>2263</v>
      </c>
      <c r="C662" t="s">
        <v>614</v>
      </c>
      <c r="D662" t="s">
        <v>1940</v>
      </c>
      <c r="E662" t="str">
        <f>+CONCATENATE(D662,". FABRICADO EN ",M662,". PUNTERA DE ",N662,". PLANTILLA ",O662,". SUELA DE ",P662)</f>
        <v>ZAPATO 01-FO-SR Negro 41. FABRICADO EN TEXTIL TRANSPIRABLE CON REFUERZO EN PUNTERA. PUNTERA DE No lleva. PLANTILLA No lleva. SUELA DE EVA/CAUCHO-NITRILO</v>
      </c>
      <c r="F662" t="str">
        <f>PROPER(E662)</f>
        <v>Zapato 01-Fo-Sr Negro 41. Fabricado En Textil Transpirable Con Refuerzo En Puntera. Puntera De No Lleva. Plantilla No Lleva. Suela De Eva/Caucho-Nitrilo</v>
      </c>
      <c r="G662" s="24">
        <f>VLOOKUP(B662,Tabla1[],2,0)</f>
        <v>26.5</v>
      </c>
      <c r="H662" s="24">
        <f>+G662/0.72</f>
        <v>36.805555555555557</v>
      </c>
      <c r="I662" s="24">
        <f>+H662*1.21</f>
        <v>44.534722222222221</v>
      </c>
      <c r="J662" s="24" t="s">
        <v>2361</v>
      </c>
      <c r="K662" s="24" t="s">
        <v>2372</v>
      </c>
      <c r="L662" t="s">
        <v>1392</v>
      </c>
      <c r="M662" t="s">
        <v>1410</v>
      </c>
      <c r="N662" t="s">
        <v>1427</v>
      </c>
      <c r="O662" t="s">
        <v>1427</v>
      </c>
      <c r="P662" t="s">
        <v>1431</v>
      </c>
      <c r="Q662">
        <v>41</v>
      </c>
      <c r="R662" s="2">
        <v>8457780313868</v>
      </c>
      <c r="S662" s="3" t="s">
        <v>1247</v>
      </c>
      <c r="T662" t="s">
        <v>1378</v>
      </c>
    </row>
    <row r="663" spans="1:21" x14ac:dyDescent="0.25">
      <c r="A663" t="s">
        <v>607</v>
      </c>
      <c r="B663" t="s">
        <v>2263</v>
      </c>
      <c r="C663" t="s">
        <v>615</v>
      </c>
      <c r="D663" t="s">
        <v>1941</v>
      </c>
      <c r="E663" t="str">
        <f>+CONCATENATE(D663,". FABRICADO EN ",M663,". PUNTERA DE ",N663,". PLANTILLA ",O663,". SUELA DE ",P663)</f>
        <v>ZAPATO 01-FO-SR Negro 42. FABRICADO EN TEXTIL TRANSPIRABLE CON REFUERZO EN PUNTERA. PUNTERA DE No lleva. PLANTILLA No lleva. SUELA DE EVA/CAUCHO-NITRILO</v>
      </c>
      <c r="F663" t="str">
        <f>PROPER(E663)</f>
        <v>Zapato 01-Fo-Sr Negro 42. Fabricado En Textil Transpirable Con Refuerzo En Puntera. Puntera De No Lleva. Plantilla No Lleva. Suela De Eva/Caucho-Nitrilo</v>
      </c>
      <c r="G663" s="24">
        <f>VLOOKUP(B663,Tabla1[],2,0)</f>
        <v>26.5</v>
      </c>
      <c r="H663" s="24">
        <f>+G663/0.72</f>
        <v>36.805555555555557</v>
      </c>
      <c r="I663" s="24">
        <f>+H663*1.21</f>
        <v>44.534722222222221</v>
      </c>
      <c r="J663" s="24" t="s">
        <v>2361</v>
      </c>
      <c r="K663" s="24" t="s">
        <v>2372</v>
      </c>
      <c r="L663" t="s">
        <v>1392</v>
      </c>
      <c r="M663" t="s">
        <v>1410</v>
      </c>
      <c r="N663" t="s">
        <v>1427</v>
      </c>
      <c r="O663" t="s">
        <v>1427</v>
      </c>
      <c r="P663" t="s">
        <v>1431</v>
      </c>
      <c r="Q663">
        <v>42</v>
      </c>
      <c r="R663" s="2">
        <v>8457780313875</v>
      </c>
      <c r="S663" s="3" t="s">
        <v>1248</v>
      </c>
      <c r="T663" t="s">
        <v>1378</v>
      </c>
    </row>
    <row r="664" spans="1:21" x14ac:dyDescent="0.25">
      <c r="A664" t="s">
        <v>607</v>
      </c>
      <c r="B664" t="s">
        <v>2263</v>
      </c>
      <c r="C664" t="s">
        <v>616</v>
      </c>
      <c r="D664" t="s">
        <v>1942</v>
      </c>
      <c r="E664" t="str">
        <f>+CONCATENATE(D664,". FABRICADO EN ",M664,". PUNTERA DE ",N664,". PLANTILLA ",O664,". SUELA DE ",P664)</f>
        <v>ZAPATO 01-FO-SR Negro 43. FABRICADO EN TEXTIL TRANSPIRABLE CON REFUERZO EN PUNTERA. PUNTERA DE No lleva. PLANTILLA No lleva. SUELA DE EVA/CAUCHO-NITRILO</v>
      </c>
      <c r="F664" t="str">
        <f>PROPER(E664)</f>
        <v>Zapato 01-Fo-Sr Negro 43. Fabricado En Textil Transpirable Con Refuerzo En Puntera. Puntera De No Lleva. Plantilla No Lleva. Suela De Eva/Caucho-Nitrilo</v>
      </c>
      <c r="G664" s="24">
        <f>VLOOKUP(B664,Tabla1[],2,0)</f>
        <v>26.5</v>
      </c>
      <c r="H664" s="24">
        <f>+G664/0.72</f>
        <v>36.805555555555557</v>
      </c>
      <c r="I664" s="24">
        <f>+H664*1.21</f>
        <v>44.534722222222221</v>
      </c>
      <c r="J664" s="24" t="s">
        <v>2361</v>
      </c>
      <c r="K664" s="24" t="s">
        <v>2372</v>
      </c>
      <c r="L664" t="s">
        <v>1392</v>
      </c>
      <c r="M664" t="s">
        <v>1410</v>
      </c>
      <c r="N664" t="s">
        <v>1427</v>
      </c>
      <c r="O664" t="s">
        <v>1427</v>
      </c>
      <c r="P664" t="s">
        <v>1431</v>
      </c>
      <c r="Q664">
        <v>43</v>
      </c>
      <c r="R664" s="2">
        <v>8457780313882</v>
      </c>
      <c r="S664" s="3" t="s">
        <v>1249</v>
      </c>
      <c r="T664" t="s">
        <v>1378</v>
      </c>
    </row>
    <row r="665" spans="1:21" x14ac:dyDescent="0.25">
      <c r="A665" t="s">
        <v>607</v>
      </c>
      <c r="B665" t="s">
        <v>2263</v>
      </c>
      <c r="C665" t="s">
        <v>617</v>
      </c>
      <c r="D665" t="s">
        <v>1943</v>
      </c>
      <c r="E665" t="str">
        <f>+CONCATENATE(D665,". FABRICADO EN ",M665,". PUNTERA DE ",N665,". PLANTILLA ",O665,". SUELA DE ",P665)</f>
        <v>ZAPATO 01-FO-SR Negro 44. FABRICADO EN TEXTIL TRANSPIRABLE CON REFUERZO EN PUNTERA. PUNTERA DE No lleva. PLANTILLA No lleva. SUELA DE EVA/CAUCHO-NITRILO</v>
      </c>
      <c r="F665" t="str">
        <f>PROPER(E665)</f>
        <v>Zapato 01-Fo-Sr Negro 44. Fabricado En Textil Transpirable Con Refuerzo En Puntera. Puntera De No Lleva. Plantilla No Lleva. Suela De Eva/Caucho-Nitrilo</v>
      </c>
      <c r="G665" s="24">
        <f>VLOOKUP(B665,Tabla1[],2,0)</f>
        <v>26.5</v>
      </c>
      <c r="H665" s="24">
        <f>+G665/0.72</f>
        <v>36.805555555555557</v>
      </c>
      <c r="I665" s="24">
        <f>+H665*1.21</f>
        <v>44.534722222222221</v>
      </c>
      <c r="J665" s="24" t="s">
        <v>2361</v>
      </c>
      <c r="K665" s="24" t="s">
        <v>2372</v>
      </c>
      <c r="L665" t="s">
        <v>1392</v>
      </c>
      <c r="M665" t="s">
        <v>1410</v>
      </c>
      <c r="N665" t="s">
        <v>1427</v>
      </c>
      <c r="O665" t="s">
        <v>1427</v>
      </c>
      <c r="P665" t="s">
        <v>1431</v>
      </c>
      <c r="Q665">
        <v>44</v>
      </c>
      <c r="R665" s="2">
        <v>8457780313899</v>
      </c>
      <c r="S665" s="3" t="s">
        <v>1250</v>
      </c>
      <c r="T665" t="s">
        <v>1378</v>
      </c>
    </row>
    <row r="666" spans="1:21" x14ac:dyDescent="0.25">
      <c r="A666" t="s">
        <v>607</v>
      </c>
      <c r="B666" t="s">
        <v>2263</v>
      </c>
      <c r="C666" t="s">
        <v>618</v>
      </c>
      <c r="D666" t="s">
        <v>1944</v>
      </c>
      <c r="E666" t="str">
        <f>+CONCATENATE(D666,". FABRICADO EN ",M666,". PUNTERA DE ",N666,". PLANTILLA ",O666,". SUELA DE ",P666)</f>
        <v>ZAPATO 01-FO-SR Negro 45. FABRICADO EN TEXTIL TRANSPIRABLE CON REFUERZO EN PUNTERA. PUNTERA DE No lleva. PLANTILLA No lleva. SUELA DE EVA/CAUCHO-NITRILO</v>
      </c>
      <c r="F666" t="str">
        <f>PROPER(E666)</f>
        <v>Zapato 01-Fo-Sr Negro 45. Fabricado En Textil Transpirable Con Refuerzo En Puntera. Puntera De No Lleva. Plantilla No Lleva. Suela De Eva/Caucho-Nitrilo</v>
      </c>
      <c r="G666" s="24">
        <f>VLOOKUP(B666,Tabla1[],2,0)</f>
        <v>26.5</v>
      </c>
      <c r="H666" s="24">
        <f>+G666/0.72</f>
        <v>36.805555555555557</v>
      </c>
      <c r="I666" s="24">
        <f>+H666*1.21</f>
        <v>44.534722222222221</v>
      </c>
      <c r="J666" s="24" t="s">
        <v>2361</v>
      </c>
      <c r="K666" s="24" t="s">
        <v>2372</v>
      </c>
      <c r="L666" t="s">
        <v>1392</v>
      </c>
      <c r="M666" t="s">
        <v>1410</v>
      </c>
      <c r="N666" t="s">
        <v>1427</v>
      </c>
      <c r="O666" t="s">
        <v>1427</v>
      </c>
      <c r="P666" t="s">
        <v>1431</v>
      </c>
      <c r="Q666">
        <v>45</v>
      </c>
      <c r="R666" s="2">
        <v>8457780313905</v>
      </c>
      <c r="S666" s="3" t="s">
        <v>1251</v>
      </c>
      <c r="T666" t="s">
        <v>1378</v>
      </c>
    </row>
    <row r="667" spans="1:21" x14ac:dyDescent="0.25">
      <c r="A667" t="s">
        <v>607</v>
      </c>
      <c r="B667" t="s">
        <v>2263</v>
      </c>
      <c r="C667" t="s">
        <v>619</v>
      </c>
      <c r="D667" t="s">
        <v>1945</v>
      </c>
      <c r="E667" t="str">
        <f>+CONCATENATE(D667,". FABRICADO EN ",M667,". PUNTERA DE ",N667,". PLANTILLA ",O667,". SUELA DE ",P667)</f>
        <v>ZAPATO 01-FO-SR Negro 46. FABRICADO EN TEXTIL TRANSPIRABLE CON REFUERZO EN PUNTERA. PUNTERA DE No lleva. PLANTILLA No lleva. SUELA DE EVA/CAUCHO-NITRILO</v>
      </c>
      <c r="F667" t="str">
        <f>PROPER(E667)</f>
        <v>Zapato 01-Fo-Sr Negro 46. Fabricado En Textil Transpirable Con Refuerzo En Puntera. Puntera De No Lleva. Plantilla No Lleva. Suela De Eva/Caucho-Nitrilo</v>
      </c>
      <c r="G667" s="24">
        <f>VLOOKUP(B667,Tabla1[],2,0)</f>
        <v>26.5</v>
      </c>
      <c r="H667" s="24">
        <f>+G667/0.72</f>
        <v>36.805555555555557</v>
      </c>
      <c r="I667" s="24">
        <f>+H667*1.21</f>
        <v>44.534722222222221</v>
      </c>
      <c r="J667" s="24" t="s">
        <v>2361</v>
      </c>
      <c r="K667" s="24" t="s">
        <v>2372</v>
      </c>
      <c r="L667" t="s">
        <v>1392</v>
      </c>
      <c r="M667" t="s">
        <v>1410</v>
      </c>
      <c r="N667" t="s">
        <v>1427</v>
      </c>
      <c r="O667" t="s">
        <v>1427</v>
      </c>
      <c r="P667" t="s">
        <v>1431</v>
      </c>
      <c r="Q667">
        <v>46</v>
      </c>
      <c r="R667" s="2">
        <v>8457780313912</v>
      </c>
      <c r="S667" s="3" t="s">
        <v>1252</v>
      </c>
      <c r="T667" t="s">
        <v>1378</v>
      </c>
    </row>
    <row r="668" spans="1:21" x14ac:dyDescent="0.25">
      <c r="A668" t="s">
        <v>607</v>
      </c>
      <c r="B668" t="s">
        <v>2263</v>
      </c>
      <c r="C668" t="s">
        <v>620</v>
      </c>
      <c r="D668" t="s">
        <v>1946</v>
      </c>
      <c r="E668" t="str">
        <f>+CONCATENATE(D668,". FABRICADO EN ",M668,". PUNTERA DE ",N668,". PLANTILLA ",O668,". SUELA DE ",P668)</f>
        <v>ZAPATO 01-FO-SR Negro 47. FABRICADO EN TEXTIL TRANSPIRABLE CON REFUERZO EN PUNTERA. PUNTERA DE No lleva. PLANTILLA No lleva. SUELA DE EVA/CAUCHO-NITRILO</v>
      </c>
      <c r="F668" t="str">
        <f>PROPER(E668)</f>
        <v>Zapato 01-Fo-Sr Negro 47. Fabricado En Textil Transpirable Con Refuerzo En Puntera. Puntera De No Lleva. Plantilla No Lleva. Suela De Eva/Caucho-Nitrilo</v>
      </c>
      <c r="G668" s="24">
        <f>VLOOKUP(B668,Tabla1[],2,0)</f>
        <v>26.5</v>
      </c>
      <c r="H668" s="24">
        <f>+G668/0.72</f>
        <v>36.805555555555557</v>
      </c>
      <c r="I668" s="24">
        <f>+H668*1.21</f>
        <v>44.534722222222221</v>
      </c>
      <c r="J668" s="24" t="s">
        <v>2361</v>
      </c>
      <c r="K668" s="24" t="s">
        <v>2372</v>
      </c>
      <c r="L668" t="s">
        <v>1392</v>
      </c>
      <c r="M668" t="s">
        <v>1410</v>
      </c>
      <c r="N668" t="s">
        <v>1427</v>
      </c>
      <c r="O668" t="s">
        <v>1427</v>
      </c>
      <c r="P668" t="s">
        <v>1431</v>
      </c>
      <c r="Q668">
        <v>47</v>
      </c>
      <c r="R668" s="2">
        <v>8457780313929</v>
      </c>
      <c r="S668" s="3" t="s">
        <v>1253</v>
      </c>
      <c r="T668" t="s">
        <v>1378</v>
      </c>
    </row>
    <row r="669" spans="1:21" x14ac:dyDescent="0.25">
      <c r="A669" t="s">
        <v>607</v>
      </c>
      <c r="B669" t="s">
        <v>2263</v>
      </c>
      <c r="C669" t="s">
        <v>621</v>
      </c>
      <c r="D669" t="s">
        <v>1947</v>
      </c>
      <c r="E669" t="str">
        <f>+CONCATENATE(D669,". FABRICADO EN ",M669,". PUNTERA DE ",N669,". PLANTILLA ",O669,". SUELA DE ",P669)</f>
        <v>ZAPATO 01-FO-SR Negro 48. FABRICADO EN TEXTIL TRANSPIRABLE CON REFUERZO EN PUNTERA. PUNTERA DE No lleva. PLANTILLA No lleva. SUELA DE EVA/CAUCHO-NITRILO</v>
      </c>
      <c r="F669" t="str">
        <f>PROPER(E669)</f>
        <v>Zapato 01-Fo-Sr Negro 48. Fabricado En Textil Transpirable Con Refuerzo En Puntera. Puntera De No Lleva. Plantilla No Lleva. Suela De Eva/Caucho-Nitrilo</v>
      </c>
      <c r="G669" s="24">
        <f>VLOOKUP(B669,Tabla1[],2,0)</f>
        <v>26.5</v>
      </c>
      <c r="H669" s="24">
        <f>+G669/0.72</f>
        <v>36.805555555555557</v>
      </c>
      <c r="I669" s="24">
        <f>+H669*1.21</f>
        <v>44.534722222222221</v>
      </c>
      <c r="J669" s="24" t="s">
        <v>2361</v>
      </c>
      <c r="K669" s="24" t="s">
        <v>2372</v>
      </c>
      <c r="L669" t="s">
        <v>1392</v>
      </c>
      <c r="M669" t="s">
        <v>1410</v>
      </c>
      <c r="N669" t="s">
        <v>1427</v>
      </c>
      <c r="O669" t="s">
        <v>1427</v>
      </c>
      <c r="P669" t="s">
        <v>1431</v>
      </c>
      <c r="Q669">
        <v>48</v>
      </c>
      <c r="R669" s="2">
        <v>8457780313936</v>
      </c>
      <c r="S669" s="3" t="s">
        <v>1254</v>
      </c>
      <c r="T669" t="s">
        <v>1378</v>
      </c>
    </row>
    <row r="670" spans="1:21" x14ac:dyDescent="0.25">
      <c r="A670" t="s">
        <v>622</v>
      </c>
      <c r="B670" t="s">
        <v>2264</v>
      </c>
      <c r="C670" t="s">
        <v>623</v>
      </c>
      <c r="D670" t="s">
        <v>1948</v>
      </c>
      <c r="E670" t="str">
        <f>+CONCATENATE(D670,". FABRICADO EN ",M670,". PUNTERA DE ",N670,". PLANTILLA ",O670,". SUELA DE ",P670)</f>
        <v>ZAPATO O1+FO+SR Verde-morado 35. FABRICADO EN TEXTIL TRANSPIRABLE CON REFUERZO EN PUNTERA Y TRASERA. PUNTERA DE No lleva. PLANTILLA No lleva. SUELA DE EVA/CAUCHO-NITRILO</v>
      </c>
      <c r="F670" t="str">
        <f>PROPER(E670)</f>
        <v>Zapato O1+Fo+Sr Verde-Morado 35. Fabricado En Textil Transpirable Con Refuerzo En Puntera Y Trasera. Puntera De No Lleva. Plantilla No Lleva. Suela De Eva/Caucho-Nitrilo</v>
      </c>
      <c r="G670" s="24">
        <f>VLOOKUP(B670,Tabla1[],2,0)</f>
        <v>22</v>
      </c>
      <c r="H670" s="24">
        <f>+G670/0.72</f>
        <v>30.555555555555557</v>
      </c>
      <c r="I670" s="24">
        <f>+H670*1.21</f>
        <v>36.972222222222221</v>
      </c>
      <c r="J670" s="24" t="s">
        <v>2361</v>
      </c>
      <c r="K670" s="24" t="s">
        <v>2372</v>
      </c>
      <c r="L670" t="s">
        <v>1392</v>
      </c>
      <c r="M670" t="s">
        <v>1409</v>
      </c>
      <c r="N670" t="s">
        <v>1427</v>
      </c>
      <c r="O670" t="s">
        <v>1427</v>
      </c>
      <c r="P670" t="s">
        <v>1431</v>
      </c>
      <c r="Q670">
        <v>35</v>
      </c>
      <c r="R670" s="2">
        <v>8457780313523</v>
      </c>
      <c r="S670" s="3" t="s">
        <v>1255</v>
      </c>
      <c r="T670" t="s">
        <v>1371</v>
      </c>
      <c r="U670" t="s">
        <v>1372</v>
      </c>
    </row>
    <row r="671" spans="1:21" x14ac:dyDescent="0.25">
      <c r="A671" t="s">
        <v>622</v>
      </c>
      <c r="B671" t="s">
        <v>2264</v>
      </c>
      <c r="C671" t="s">
        <v>624</v>
      </c>
      <c r="D671" t="s">
        <v>1949</v>
      </c>
      <c r="E671" t="str">
        <f>+CONCATENATE(D671,". FABRICADO EN ",M671,". PUNTERA DE ",N671,". PLANTILLA ",O671,". SUELA DE ",P671)</f>
        <v>ZAPATO O1+FO+SR Verde-morado 36. FABRICADO EN TEXTIL TRANSPIRABLE CON REFUERZO EN PUNTERA Y TRASERA. PUNTERA DE No lleva. PLANTILLA No lleva. SUELA DE EVA/CAUCHO-NITRILO</v>
      </c>
      <c r="F671" t="str">
        <f>PROPER(E671)</f>
        <v>Zapato O1+Fo+Sr Verde-Morado 36. Fabricado En Textil Transpirable Con Refuerzo En Puntera Y Trasera. Puntera De No Lleva. Plantilla No Lleva. Suela De Eva/Caucho-Nitrilo</v>
      </c>
      <c r="G671" s="24">
        <f>VLOOKUP(B671,Tabla1[],2,0)</f>
        <v>22</v>
      </c>
      <c r="H671" s="24">
        <f>+G671/0.72</f>
        <v>30.555555555555557</v>
      </c>
      <c r="I671" s="24">
        <f>+H671*1.21</f>
        <v>36.972222222222221</v>
      </c>
      <c r="J671" s="24" t="s">
        <v>2361</v>
      </c>
      <c r="K671" s="24" t="s">
        <v>2372</v>
      </c>
      <c r="L671" t="s">
        <v>1392</v>
      </c>
      <c r="M671" t="s">
        <v>1409</v>
      </c>
      <c r="N671" t="s">
        <v>1427</v>
      </c>
      <c r="O671" t="s">
        <v>1427</v>
      </c>
      <c r="P671" t="s">
        <v>1431</v>
      </c>
      <c r="Q671">
        <v>36</v>
      </c>
      <c r="R671" s="2">
        <v>8457780313530</v>
      </c>
      <c r="S671" s="3" t="s">
        <v>1256</v>
      </c>
      <c r="T671" t="s">
        <v>1371</v>
      </c>
      <c r="U671" t="s">
        <v>1372</v>
      </c>
    </row>
    <row r="672" spans="1:21" x14ac:dyDescent="0.25">
      <c r="A672" t="s">
        <v>622</v>
      </c>
      <c r="B672" t="s">
        <v>2264</v>
      </c>
      <c r="C672" t="s">
        <v>625</v>
      </c>
      <c r="D672" t="s">
        <v>1950</v>
      </c>
      <c r="E672" t="str">
        <f>+CONCATENATE(D672,". FABRICADO EN ",M672,". PUNTERA DE ",N672,". PLANTILLA ",O672,". SUELA DE ",P672)</f>
        <v>ZAPATO O1+FO+SR Verde-morado 37. FABRICADO EN TEXTIL TRANSPIRABLE CON REFUERZO EN PUNTERA Y TRASERA. PUNTERA DE No lleva. PLANTILLA No lleva. SUELA DE EVA/CAUCHO-NITRILO</v>
      </c>
      <c r="F672" t="str">
        <f>PROPER(E672)</f>
        <v>Zapato O1+Fo+Sr Verde-Morado 37. Fabricado En Textil Transpirable Con Refuerzo En Puntera Y Trasera. Puntera De No Lleva. Plantilla No Lleva. Suela De Eva/Caucho-Nitrilo</v>
      </c>
      <c r="G672" s="24">
        <f>VLOOKUP(B672,Tabla1[],2,0)</f>
        <v>22</v>
      </c>
      <c r="H672" s="24">
        <f>+G672/0.72</f>
        <v>30.555555555555557</v>
      </c>
      <c r="I672" s="24">
        <f>+H672*1.21</f>
        <v>36.972222222222221</v>
      </c>
      <c r="J672" s="24" t="s">
        <v>2361</v>
      </c>
      <c r="K672" s="24" t="s">
        <v>2372</v>
      </c>
      <c r="L672" t="s">
        <v>1392</v>
      </c>
      <c r="M672" t="s">
        <v>1409</v>
      </c>
      <c r="N672" t="s">
        <v>1427</v>
      </c>
      <c r="O672" t="s">
        <v>1427</v>
      </c>
      <c r="P672" t="s">
        <v>1431</v>
      </c>
      <c r="Q672">
        <v>37</v>
      </c>
      <c r="R672" s="2">
        <v>8457780313547</v>
      </c>
      <c r="S672" s="3" t="s">
        <v>1257</v>
      </c>
      <c r="T672" t="s">
        <v>1371</v>
      </c>
      <c r="U672" t="s">
        <v>1372</v>
      </c>
    </row>
    <row r="673" spans="1:21" x14ac:dyDescent="0.25">
      <c r="A673" t="s">
        <v>622</v>
      </c>
      <c r="B673" t="s">
        <v>2264</v>
      </c>
      <c r="C673" t="s">
        <v>626</v>
      </c>
      <c r="D673" t="s">
        <v>1951</v>
      </c>
      <c r="E673" t="str">
        <f>+CONCATENATE(D673,". FABRICADO EN ",M673,". PUNTERA DE ",N673,". PLANTILLA ",O673,". SUELA DE ",P673)</f>
        <v>ZAPATO O1+FO+SR Verde-morado 38. FABRICADO EN TEXTIL TRANSPIRABLE CON REFUERZO EN PUNTERA Y TRASERA. PUNTERA DE No lleva. PLANTILLA No lleva. SUELA DE EVA/CAUCHO-NITRILO</v>
      </c>
      <c r="F673" t="str">
        <f>PROPER(E673)</f>
        <v>Zapato O1+Fo+Sr Verde-Morado 38. Fabricado En Textil Transpirable Con Refuerzo En Puntera Y Trasera. Puntera De No Lleva. Plantilla No Lleva. Suela De Eva/Caucho-Nitrilo</v>
      </c>
      <c r="G673" s="24">
        <f>VLOOKUP(B673,Tabla1[],2,0)</f>
        <v>22</v>
      </c>
      <c r="H673" s="24">
        <f>+G673/0.72</f>
        <v>30.555555555555557</v>
      </c>
      <c r="I673" s="24">
        <f>+H673*1.21</f>
        <v>36.972222222222221</v>
      </c>
      <c r="J673" s="24" t="s">
        <v>2361</v>
      </c>
      <c r="K673" s="24" t="s">
        <v>2372</v>
      </c>
      <c r="L673" t="s">
        <v>1392</v>
      </c>
      <c r="M673" t="s">
        <v>1409</v>
      </c>
      <c r="N673" t="s">
        <v>1427</v>
      </c>
      <c r="O673" t="s">
        <v>1427</v>
      </c>
      <c r="P673" t="s">
        <v>1431</v>
      </c>
      <c r="Q673">
        <v>38</v>
      </c>
      <c r="R673" s="2">
        <v>8457780313554</v>
      </c>
      <c r="S673" s="3" t="s">
        <v>1258</v>
      </c>
      <c r="T673" t="s">
        <v>1371</v>
      </c>
      <c r="U673" t="s">
        <v>1372</v>
      </c>
    </row>
    <row r="674" spans="1:21" x14ac:dyDescent="0.25">
      <c r="A674" t="s">
        <v>622</v>
      </c>
      <c r="B674" t="s">
        <v>2264</v>
      </c>
      <c r="C674" t="s">
        <v>627</v>
      </c>
      <c r="D674" t="s">
        <v>1952</v>
      </c>
      <c r="E674" t="str">
        <f>+CONCATENATE(D674,". FABRICADO EN ",M674,". PUNTERA DE ",N674,". PLANTILLA ",O674,". SUELA DE ",P674)</f>
        <v>ZAPATO O1+FO+SR Verde-morado 39. FABRICADO EN TEXTIL TRANSPIRABLE CON REFUERZO EN PUNTERA Y TRASERA. PUNTERA DE No lleva. PLANTILLA No lleva. SUELA DE EVA/CAUCHO-NITRILO</v>
      </c>
      <c r="F674" t="str">
        <f>PROPER(E674)</f>
        <v>Zapato O1+Fo+Sr Verde-Morado 39. Fabricado En Textil Transpirable Con Refuerzo En Puntera Y Trasera. Puntera De No Lleva. Plantilla No Lleva. Suela De Eva/Caucho-Nitrilo</v>
      </c>
      <c r="G674" s="24">
        <f>VLOOKUP(B674,Tabla1[],2,0)</f>
        <v>22</v>
      </c>
      <c r="H674" s="24">
        <f>+G674/0.72</f>
        <v>30.555555555555557</v>
      </c>
      <c r="I674" s="24">
        <f>+H674*1.21</f>
        <v>36.972222222222221</v>
      </c>
      <c r="J674" s="24" t="s">
        <v>2361</v>
      </c>
      <c r="K674" s="24" t="s">
        <v>2372</v>
      </c>
      <c r="L674" t="s">
        <v>1392</v>
      </c>
      <c r="M674" t="s">
        <v>1409</v>
      </c>
      <c r="N674" t="s">
        <v>1427</v>
      </c>
      <c r="O674" t="s">
        <v>1427</v>
      </c>
      <c r="P674" t="s">
        <v>1431</v>
      </c>
      <c r="Q674">
        <v>39</v>
      </c>
      <c r="R674" s="2">
        <v>8457780313561</v>
      </c>
      <c r="S674" s="3" t="s">
        <v>1259</v>
      </c>
      <c r="T674" t="s">
        <v>1371</v>
      </c>
      <c r="U674" t="s">
        <v>1372</v>
      </c>
    </row>
    <row r="675" spans="1:21" x14ac:dyDescent="0.25">
      <c r="A675" t="s">
        <v>622</v>
      </c>
      <c r="B675" t="s">
        <v>2264</v>
      </c>
      <c r="C675" t="s">
        <v>628</v>
      </c>
      <c r="D675" t="s">
        <v>1953</v>
      </c>
      <c r="E675" t="str">
        <f>+CONCATENATE(D675,". FABRICADO EN ",M675,". PUNTERA DE ",N675,". PLANTILLA ",O675,". SUELA DE ",P675)</f>
        <v>ZAPATO O1+FO+SR Verde-morado 40. FABRICADO EN TEXTIL TRANSPIRABLE CON REFUERZO EN PUNTERA Y TRASERA. PUNTERA DE No lleva. PLANTILLA No lleva. SUELA DE EVA/CAUCHO-NITRILO</v>
      </c>
      <c r="F675" t="str">
        <f>PROPER(E675)</f>
        <v>Zapato O1+Fo+Sr Verde-Morado 40. Fabricado En Textil Transpirable Con Refuerzo En Puntera Y Trasera. Puntera De No Lleva. Plantilla No Lleva. Suela De Eva/Caucho-Nitrilo</v>
      </c>
      <c r="G675" s="24">
        <f>VLOOKUP(B675,Tabla1[],2,0)</f>
        <v>22</v>
      </c>
      <c r="H675" s="24">
        <f>+G675/0.72</f>
        <v>30.555555555555557</v>
      </c>
      <c r="I675" s="24">
        <f>+H675*1.21</f>
        <v>36.972222222222221</v>
      </c>
      <c r="J675" s="24" t="s">
        <v>2361</v>
      </c>
      <c r="K675" s="24" t="s">
        <v>2372</v>
      </c>
      <c r="L675" t="s">
        <v>1392</v>
      </c>
      <c r="M675" t="s">
        <v>1409</v>
      </c>
      <c r="N675" t="s">
        <v>1427</v>
      </c>
      <c r="O675" t="s">
        <v>1427</v>
      </c>
      <c r="P675" t="s">
        <v>1431</v>
      </c>
      <c r="Q675">
        <v>40</v>
      </c>
      <c r="R675" s="2">
        <v>8457780313578</v>
      </c>
      <c r="S675" s="3" t="s">
        <v>1260</v>
      </c>
      <c r="T675" t="s">
        <v>1371</v>
      </c>
      <c r="U675" t="s">
        <v>1372</v>
      </c>
    </row>
    <row r="676" spans="1:21" x14ac:dyDescent="0.25">
      <c r="A676" t="s">
        <v>622</v>
      </c>
      <c r="B676" t="s">
        <v>2264</v>
      </c>
      <c r="C676" t="s">
        <v>629</v>
      </c>
      <c r="D676" t="s">
        <v>1954</v>
      </c>
      <c r="E676" t="str">
        <f>+CONCATENATE(D676,". FABRICADO EN ",M676,". PUNTERA DE ",N676,". PLANTILLA ",O676,". SUELA DE ",P676)</f>
        <v>ZAPATO O1+FO+SR Verde-morado 41. FABRICADO EN TEXTIL TRANSPIRABLE CON REFUERZO EN PUNTERA Y TRASERA. PUNTERA DE No lleva. PLANTILLA No lleva. SUELA DE EVA/CAUCHO-NITRILO</v>
      </c>
      <c r="F676" t="str">
        <f>PROPER(E676)</f>
        <v>Zapato O1+Fo+Sr Verde-Morado 41. Fabricado En Textil Transpirable Con Refuerzo En Puntera Y Trasera. Puntera De No Lleva. Plantilla No Lleva. Suela De Eva/Caucho-Nitrilo</v>
      </c>
      <c r="G676" s="24">
        <f>VLOOKUP(B676,Tabla1[],2,0)</f>
        <v>22</v>
      </c>
      <c r="H676" s="24">
        <f>+G676/0.72</f>
        <v>30.555555555555557</v>
      </c>
      <c r="I676" s="24">
        <f>+H676*1.21</f>
        <v>36.972222222222221</v>
      </c>
      <c r="J676" s="24" t="s">
        <v>2361</v>
      </c>
      <c r="K676" s="24" t="s">
        <v>2372</v>
      </c>
      <c r="L676" t="s">
        <v>1392</v>
      </c>
      <c r="M676" t="s">
        <v>1409</v>
      </c>
      <c r="N676" t="s">
        <v>1427</v>
      </c>
      <c r="O676" t="s">
        <v>1427</v>
      </c>
      <c r="P676" t="s">
        <v>1431</v>
      </c>
      <c r="Q676">
        <v>41</v>
      </c>
      <c r="R676" s="2">
        <v>8457780313585</v>
      </c>
      <c r="S676" s="3" t="s">
        <v>1261</v>
      </c>
      <c r="T676" t="s">
        <v>1371</v>
      </c>
      <c r="U676" t="s">
        <v>1372</v>
      </c>
    </row>
    <row r="677" spans="1:21" x14ac:dyDescent="0.25">
      <c r="A677" t="s">
        <v>622</v>
      </c>
      <c r="B677" t="s">
        <v>2264</v>
      </c>
      <c r="C677" t="s">
        <v>630</v>
      </c>
      <c r="D677" t="s">
        <v>1955</v>
      </c>
      <c r="E677" t="str">
        <f>+CONCATENATE(D677,". FABRICADO EN ",M677,". PUNTERA DE ",N677,". PLANTILLA ",O677,". SUELA DE ",P677)</f>
        <v>ZAPATO O1+FO+SR Verde-morado 42. FABRICADO EN TEXTIL TRANSPIRABLE CON REFUERZO EN PUNTERA Y TRASERA. PUNTERA DE No lleva. PLANTILLA No lleva. SUELA DE EVA/CAUCHO-NITRILO</v>
      </c>
      <c r="F677" t="str">
        <f>PROPER(E677)</f>
        <v>Zapato O1+Fo+Sr Verde-Morado 42. Fabricado En Textil Transpirable Con Refuerzo En Puntera Y Trasera. Puntera De No Lleva. Plantilla No Lleva. Suela De Eva/Caucho-Nitrilo</v>
      </c>
      <c r="G677" s="24">
        <f>VLOOKUP(B677,Tabla1[],2,0)</f>
        <v>22</v>
      </c>
      <c r="H677" s="24">
        <f>+G677/0.72</f>
        <v>30.555555555555557</v>
      </c>
      <c r="I677" s="24">
        <f>+H677*1.21</f>
        <v>36.972222222222221</v>
      </c>
      <c r="J677" s="24" t="s">
        <v>2361</v>
      </c>
      <c r="K677" s="24" t="s">
        <v>2372</v>
      </c>
      <c r="L677" t="s">
        <v>1392</v>
      </c>
      <c r="M677" t="s">
        <v>1409</v>
      </c>
      <c r="N677" t="s">
        <v>1427</v>
      </c>
      <c r="O677" t="s">
        <v>1427</v>
      </c>
      <c r="P677" t="s">
        <v>1431</v>
      </c>
      <c r="Q677">
        <v>42</v>
      </c>
      <c r="R677" s="2">
        <v>8457780313592</v>
      </c>
      <c r="S677" s="3" t="s">
        <v>1262</v>
      </c>
      <c r="T677" t="s">
        <v>1371</v>
      </c>
      <c r="U677" t="s">
        <v>1372</v>
      </c>
    </row>
    <row r="678" spans="1:21" x14ac:dyDescent="0.25">
      <c r="A678" t="s">
        <v>622</v>
      </c>
      <c r="B678" t="s">
        <v>2264</v>
      </c>
      <c r="C678" t="s">
        <v>631</v>
      </c>
      <c r="D678" t="s">
        <v>1956</v>
      </c>
      <c r="E678" t="str">
        <f>+CONCATENATE(D678,". FABRICADO EN ",M678,". PUNTERA DE ",N678,". PLANTILLA ",O678,". SUELA DE ",P678)</f>
        <v>ZAPATO O1+FO+SR Verde-morado 43. FABRICADO EN TEXTIL TRANSPIRABLE CON REFUERZO EN PUNTERA Y TRASERA. PUNTERA DE No lleva. PLANTILLA No lleva. SUELA DE EVA/CAUCHO-NITRILO</v>
      </c>
      <c r="F678" t="str">
        <f>PROPER(E678)</f>
        <v>Zapato O1+Fo+Sr Verde-Morado 43. Fabricado En Textil Transpirable Con Refuerzo En Puntera Y Trasera. Puntera De No Lleva. Plantilla No Lleva. Suela De Eva/Caucho-Nitrilo</v>
      </c>
      <c r="G678" s="24">
        <f>VLOOKUP(B678,Tabla1[],2,0)</f>
        <v>22</v>
      </c>
      <c r="H678" s="24">
        <f>+G678/0.72</f>
        <v>30.555555555555557</v>
      </c>
      <c r="I678" s="24">
        <f>+H678*1.21</f>
        <v>36.972222222222221</v>
      </c>
      <c r="J678" s="24" t="s">
        <v>2361</v>
      </c>
      <c r="K678" s="24" t="s">
        <v>2372</v>
      </c>
      <c r="L678" t="s">
        <v>1392</v>
      </c>
      <c r="M678" t="s">
        <v>1409</v>
      </c>
      <c r="N678" t="s">
        <v>1427</v>
      </c>
      <c r="O678" t="s">
        <v>1427</v>
      </c>
      <c r="P678" t="s">
        <v>1431</v>
      </c>
      <c r="Q678">
        <v>43</v>
      </c>
      <c r="R678" s="2">
        <v>8457780313608</v>
      </c>
      <c r="S678" s="3" t="s">
        <v>1263</v>
      </c>
      <c r="T678" t="s">
        <v>1371</v>
      </c>
      <c r="U678" t="s">
        <v>1372</v>
      </c>
    </row>
    <row r="679" spans="1:21" x14ac:dyDescent="0.25">
      <c r="A679" t="s">
        <v>622</v>
      </c>
      <c r="B679" t="s">
        <v>2264</v>
      </c>
      <c r="C679" t="s">
        <v>632</v>
      </c>
      <c r="D679" t="s">
        <v>1957</v>
      </c>
      <c r="E679" t="str">
        <f>+CONCATENATE(D679,". FABRICADO EN ",M679,". PUNTERA DE ",N679,". PLANTILLA ",O679,". SUELA DE ",P679)</f>
        <v>ZAPATO O1+FO+SR Verde-morado 44. FABRICADO EN TEXTIL TRANSPIRABLE CON REFUERZO EN PUNTERA Y TRASERA. PUNTERA DE No lleva. PLANTILLA No lleva. SUELA DE EVA/CAUCHO-NITRILO</v>
      </c>
      <c r="F679" t="str">
        <f>PROPER(E679)</f>
        <v>Zapato O1+Fo+Sr Verde-Morado 44. Fabricado En Textil Transpirable Con Refuerzo En Puntera Y Trasera. Puntera De No Lleva. Plantilla No Lleva. Suela De Eva/Caucho-Nitrilo</v>
      </c>
      <c r="G679" s="24">
        <f>VLOOKUP(B679,Tabla1[],2,0)</f>
        <v>22</v>
      </c>
      <c r="H679" s="24">
        <f>+G679/0.72</f>
        <v>30.555555555555557</v>
      </c>
      <c r="I679" s="24">
        <f>+H679*1.21</f>
        <v>36.972222222222221</v>
      </c>
      <c r="J679" s="24" t="s">
        <v>2361</v>
      </c>
      <c r="K679" s="24" t="s">
        <v>2372</v>
      </c>
      <c r="L679" t="s">
        <v>1392</v>
      </c>
      <c r="M679" t="s">
        <v>1409</v>
      </c>
      <c r="N679" t="s">
        <v>1427</v>
      </c>
      <c r="O679" t="s">
        <v>1427</v>
      </c>
      <c r="P679" t="s">
        <v>1431</v>
      </c>
      <c r="Q679">
        <v>44</v>
      </c>
      <c r="R679" s="2">
        <v>8457780313615</v>
      </c>
      <c r="S679" s="3" t="s">
        <v>1264</v>
      </c>
      <c r="T679" t="s">
        <v>1371</v>
      </c>
      <c r="U679" t="s">
        <v>1372</v>
      </c>
    </row>
    <row r="680" spans="1:21" x14ac:dyDescent="0.25">
      <c r="A680" t="s">
        <v>622</v>
      </c>
      <c r="B680" t="s">
        <v>2264</v>
      </c>
      <c r="C680" t="s">
        <v>633</v>
      </c>
      <c r="D680" t="s">
        <v>1958</v>
      </c>
      <c r="E680" t="str">
        <f>+CONCATENATE(D680,". FABRICADO EN ",M680,". PUNTERA DE ",N680,". PLANTILLA ",O680,". SUELA DE ",P680)</f>
        <v>ZAPATO O1+FO+SR Verde-morado 45. FABRICADO EN TEXTIL TRANSPIRABLE CON REFUERZO EN PUNTERA Y TRASERA. PUNTERA DE No lleva. PLANTILLA No lleva. SUELA DE EVA/CAUCHO-NITRILO</v>
      </c>
      <c r="F680" t="str">
        <f>PROPER(E680)</f>
        <v>Zapato O1+Fo+Sr Verde-Morado 45. Fabricado En Textil Transpirable Con Refuerzo En Puntera Y Trasera. Puntera De No Lleva. Plantilla No Lleva. Suela De Eva/Caucho-Nitrilo</v>
      </c>
      <c r="G680" s="24">
        <f>VLOOKUP(B680,Tabla1[],2,0)</f>
        <v>22</v>
      </c>
      <c r="H680" s="24">
        <f>+G680/0.72</f>
        <v>30.555555555555557</v>
      </c>
      <c r="I680" s="24">
        <f>+H680*1.21</f>
        <v>36.972222222222221</v>
      </c>
      <c r="J680" s="24" t="s">
        <v>2361</v>
      </c>
      <c r="K680" s="24" t="s">
        <v>2372</v>
      </c>
      <c r="L680" t="s">
        <v>1392</v>
      </c>
      <c r="M680" t="s">
        <v>1409</v>
      </c>
      <c r="N680" t="s">
        <v>1427</v>
      </c>
      <c r="O680" t="s">
        <v>1427</v>
      </c>
      <c r="P680" t="s">
        <v>1431</v>
      </c>
      <c r="Q680">
        <v>45</v>
      </c>
      <c r="R680" s="2">
        <v>8457780313622</v>
      </c>
      <c r="S680" s="3" t="s">
        <v>1265</v>
      </c>
      <c r="T680" t="s">
        <v>1371</v>
      </c>
      <c r="U680" t="s">
        <v>1372</v>
      </c>
    </row>
    <row r="681" spans="1:21" x14ac:dyDescent="0.25">
      <c r="A681" t="s">
        <v>622</v>
      </c>
      <c r="B681" t="s">
        <v>2264</v>
      </c>
      <c r="C681" t="s">
        <v>634</v>
      </c>
      <c r="D681" t="s">
        <v>1959</v>
      </c>
      <c r="E681" t="str">
        <f>+CONCATENATE(D681,". FABRICADO EN ",M681,". PUNTERA DE ",N681,". PLANTILLA ",O681,". SUELA DE ",P681)</f>
        <v>ZAPATO O1+FO+SR Verde-morado 46. FABRICADO EN TEXTIL TRANSPIRABLE CON REFUERZO EN PUNTERA Y TRASERA. PUNTERA DE No lleva. PLANTILLA No lleva. SUELA DE EVA/CAUCHO-NITRILO</v>
      </c>
      <c r="F681" t="str">
        <f>PROPER(E681)</f>
        <v>Zapato O1+Fo+Sr Verde-Morado 46. Fabricado En Textil Transpirable Con Refuerzo En Puntera Y Trasera. Puntera De No Lleva. Plantilla No Lleva. Suela De Eva/Caucho-Nitrilo</v>
      </c>
      <c r="G681" s="24">
        <f>VLOOKUP(B681,Tabla1[],2,0)</f>
        <v>22</v>
      </c>
      <c r="H681" s="24">
        <f>+G681/0.72</f>
        <v>30.555555555555557</v>
      </c>
      <c r="I681" s="24">
        <f>+H681*1.21</f>
        <v>36.972222222222221</v>
      </c>
      <c r="J681" s="24" t="s">
        <v>2361</v>
      </c>
      <c r="K681" s="24" t="s">
        <v>2372</v>
      </c>
      <c r="L681" t="s">
        <v>1392</v>
      </c>
      <c r="M681" t="s">
        <v>1409</v>
      </c>
      <c r="N681" t="s">
        <v>1427</v>
      </c>
      <c r="O681" t="s">
        <v>1427</v>
      </c>
      <c r="P681" t="s">
        <v>1431</v>
      </c>
      <c r="Q681">
        <v>46</v>
      </c>
      <c r="R681" s="2">
        <v>8457780313639</v>
      </c>
      <c r="S681" s="3" t="s">
        <v>1266</v>
      </c>
      <c r="T681" t="s">
        <v>1371</v>
      </c>
      <c r="U681" t="s">
        <v>1372</v>
      </c>
    </row>
    <row r="682" spans="1:21" x14ac:dyDescent="0.25">
      <c r="A682" t="s">
        <v>622</v>
      </c>
      <c r="B682" t="s">
        <v>2264</v>
      </c>
      <c r="C682" t="s">
        <v>635</v>
      </c>
      <c r="D682" t="s">
        <v>1960</v>
      </c>
      <c r="E682" t="str">
        <f>+CONCATENATE(D682,". FABRICADO EN ",M682,". PUNTERA DE ",N682,". PLANTILLA ",O682,". SUELA DE ",P682)</f>
        <v>ZAPATO O1+FO+SR Verde-morado 47. FABRICADO EN TEXTIL TRANSPIRABLE CON REFUERZO EN PUNTERA Y TRASERA. PUNTERA DE No lleva. PLANTILLA No lleva. SUELA DE EVA/CAUCHO-NITRILO</v>
      </c>
      <c r="F682" t="str">
        <f>PROPER(E682)</f>
        <v>Zapato O1+Fo+Sr Verde-Morado 47. Fabricado En Textil Transpirable Con Refuerzo En Puntera Y Trasera. Puntera De No Lleva. Plantilla No Lleva. Suela De Eva/Caucho-Nitrilo</v>
      </c>
      <c r="G682" s="24">
        <f>VLOOKUP(B682,Tabla1[],2,0)</f>
        <v>22</v>
      </c>
      <c r="H682" s="24">
        <f>+G682/0.72</f>
        <v>30.555555555555557</v>
      </c>
      <c r="I682" s="24">
        <f>+H682*1.21</f>
        <v>36.972222222222221</v>
      </c>
      <c r="J682" s="24" t="s">
        <v>2361</v>
      </c>
      <c r="K682" s="24" t="s">
        <v>2372</v>
      </c>
      <c r="L682" t="s">
        <v>1392</v>
      </c>
      <c r="M682" t="s">
        <v>1409</v>
      </c>
      <c r="N682" t="s">
        <v>1427</v>
      </c>
      <c r="O682" t="s">
        <v>1427</v>
      </c>
      <c r="P682" t="s">
        <v>1431</v>
      </c>
      <c r="Q682">
        <v>47</v>
      </c>
      <c r="R682" s="2">
        <v>8457780313646</v>
      </c>
      <c r="S682" s="3" t="s">
        <v>1267</v>
      </c>
      <c r="T682" t="s">
        <v>1371</v>
      </c>
      <c r="U682" t="s">
        <v>1372</v>
      </c>
    </row>
    <row r="683" spans="1:21" x14ac:dyDescent="0.25">
      <c r="A683" t="s">
        <v>622</v>
      </c>
      <c r="B683" t="s">
        <v>2264</v>
      </c>
      <c r="C683" t="s">
        <v>636</v>
      </c>
      <c r="D683" t="s">
        <v>1961</v>
      </c>
      <c r="E683" t="str">
        <f>+CONCATENATE(D683,". FABRICADO EN ",M683,". PUNTERA DE ",N683,". PLANTILLA ",O683,". SUELA DE ",P683)</f>
        <v>ZAPATO O1+FO+SR Verde-morado 48. FABRICADO EN TEXTIL TRANSPIRABLE CON REFUERZO EN PUNTERA Y TRASERA. PUNTERA DE No lleva. PLANTILLA No lleva. SUELA DE EVA/CAUCHO-NITRILO</v>
      </c>
      <c r="F683" t="str">
        <f>PROPER(E683)</f>
        <v>Zapato O1+Fo+Sr Verde-Morado 48. Fabricado En Textil Transpirable Con Refuerzo En Puntera Y Trasera. Puntera De No Lleva. Plantilla No Lleva. Suela De Eva/Caucho-Nitrilo</v>
      </c>
      <c r="G683" s="24">
        <f>VLOOKUP(B683,Tabla1[],2,0)</f>
        <v>22</v>
      </c>
      <c r="H683" s="24">
        <f>+G683/0.72</f>
        <v>30.555555555555557</v>
      </c>
      <c r="I683" s="24">
        <f>+H683*1.21</f>
        <v>36.972222222222221</v>
      </c>
      <c r="J683" s="24" t="s">
        <v>2361</v>
      </c>
      <c r="K683" s="24" t="s">
        <v>2372</v>
      </c>
      <c r="L683" t="s">
        <v>1392</v>
      </c>
      <c r="M683" t="s">
        <v>1409</v>
      </c>
      <c r="N683" t="s">
        <v>1427</v>
      </c>
      <c r="O683" t="s">
        <v>1427</v>
      </c>
      <c r="P683" t="s">
        <v>1431</v>
      </c>
      <c r="Q683">
        <v>48</v>
      </c>
      <c r="R683" s="2">
        <v>8457780313653</v>
      </c>
      <c r="S683" s="3" t="s">
        <v>1268</v>
      </c>
      <c r="T683" t="s">
        <v>1371</v>
      </c>
      <c r="U683" t="s">
        <v>1372</v>
      </c>
    </row>
    <row r="684" spans="1:21" x14ac:dyDescent="0.25">
      <c r="A684" t="s">
        <v>637</v>
      </c>
      <c r="B684" t="s">
        <v>2265</v>
      </c>
      <c r="C684" t="s">
        <v>638</v>
      </c>
      <c r="D684" t="s">
        <v>1962</v>
      </c>
      <c r="E684" t="str">
        <f>+CONCATENATE(D684,". FABRICADO EN ",M684,". PUNTERA DE ",N684,". PLANTILLA ",O684,". SUELA DE ",P684)</f>
        <v>ZAPATO MF SERRAJE S1+P+CI+SRC+ESD Negro 35. FABRICADO EN MICROFIBRA ACABADO PIEL SERRAJE TRANSPIRABLE. PUNTERA DE Fibra de vidrio. PLANTILLA Antiperforación textil. SUELA DE PU/PU DOBLE DENSIDAD</v>
      </c>
      <c r="F684" t="str">
        <f>PROPER(E684)</f>
        <v>Zapato Mf Serraje S1+P+Ci+Src+Esd Negro 35. Fabricado En Microfibra Acabado Piel Serraje Transpirable. Puntera De Fibra De Vidrio. Plantilla Antiperforación Textil. Suela De Pu/Pu Doble Densidad</v>
      </c>
      <c r="G684" s="24">
        <f>VLOOKUP(B684,Tabla1[],2,0)</f>
        <v>21.8</v>
      </c>
      <c r="H684" s="24">
        <f>+G684/0.72</f>
        <v>30.277777777777779</v>
      </c>
      <c r="I684" s="24">
        <f>+H684*1.21</f>
        <v>36.636111111111113</v>
      </c>
      <c r="J684" s="24" t="s">
        <v>2359</v>
      </c>
      <c r="K684" s="24" t="s">
        <v>2371</v>
      </c>
      <c r="L684" t="s">
        <v>1392</v>
      </c>
      <c r="M684" t="s">
        <v>1408</v>
      </c>
      <c r="N684" t="s">
        <v>1425</v>
      </c>
      <c r="O684" t="s">
        <v>1428</v>
      </c>
      <c r="P684" t="s">
        <v>1429</v>
      </c>
      <c r="Q684">
        <v>35</v>
      </c>
      <c r="R684" s="2">
        <v>8457780304040</v>
      </c>
      <c r="S684" s="3" t="s">
        <v>1269</v>
      </c>
      <c r="T684" t="s">
        <v>1332</v>
      </c>
      <c r="U684" t="s">
        <v>1333</v>
      </c>
    </row>
    <row r="685" spans="1:21" x14ac:dyDescent="0.25">
      <c r="A685" t="s">
        <v>637</v>
      </c>
      <c r="B685" t="s">
        <v>2265</v>
      </c>
      <c r="C685" t="s">
        <v>639</v>
      </c>
      <c r="D685" t="s">
        <v>1963</v>
      </c>
      <c r="E685" t="str">
        <f>+CONCATENATE(D685,". FABRICADO EN ",M685,". PUNTERA DE ",N685,". PLANTILLA ",O685,". SUELA DE ",P685)</f>
        <v>ZAPATO MF SERRAJE S1+P+CI+SRC+ESD Negro 36. FABRICADO EN MICROFIBRA ACABADO PIEL SERRAJE TRANSPIRABLE. PUNTERA DE Fibra de vidrio. PLANTILLA Antiperforación textil. SUELA DE PU/PU DOBLE DENSIDAD</v>
      </c>
      <c r="F685" t="str">
        <f>PROPER(E685)</f>
        <v>Zapato Mf Serraje S1+P+Ci+Src+Esd Negro 36. Fabricado En Microfibra Acabado Piel Serraje Transpirable. Puntera De Fibra De Vidrio. Plantilla Antiperforación Textil. Suela De Pu/Pu Doble Densidad</v>
      </c>
      <c r="G685" s="24">
        <f>VLOOKUP(B685,Tabla1[],2,0)</f>
        <v>21.8</v>
      </c>
      <c r="H685" s="24">
        <f>+G685/0.72</f>
        <v>30.277777777777779</v>
      </c>
      <c r="I685" s="24">
        <f>+H685*1.21</f>
        <v>36.636111111111113</v>
      </c>
      <c r="J685" s="24" t="s">
        <v>2359</v>
      </c>
      <c r="K685" s="24" t="s">
        <v>2371</v>
      </c>
      <c r="L685" t="s">
        <v>1392</v>
      </c>
      <c r="M685" t="s">
        <v>1408</v>
      </c>
      <c r="N685" t="s">
        <v>1425</v>
      </c>
      <c r="O685" t="s">
        <v>1428</v>
      </c>
      <c r="P685" t="s">
        <v>1429</v>
      </c>
      <c r="Q685">
        <v>36</v>
      </c>
      <c r="R685" s="2">
        <v>8457780268960</v>
      </c>
      <c r="S685" s="3" t="s">
        <v>1270</v>
      </c>
      <c r="T685" t="s">
        <v>1332</v>
      </c>
      <c r="U685" t="s">
        <v>1333</v>
      </c>
    </row>
    <row r="686" spans="1:21" x14ac:dyDescent="0.25">
      <c r="A686" t="s">
        <v>637</v>
      </c>
      <c r="B686" t="s">
        <v>2265</v>
      </c>
      <c r="C686" t="s">
        <v>640</v>
      </c>
      <c r="D686" t="s">
        <v>1964</v>
      </c>
      <c r="E686" t="str">
        <f>+CONCATENATE(D686,". FABRICADO EN ",M686,". PUNTERA DE ",N686,". PLANTILLA ",O686,". SUELA DE ",P686)</f>
        <v>ZAPATO MF SERRAJE S1+P+CI+SRC+ESD Negro 37. FABRICADO EN MICROFIBRA ACABADO PIEL SERRAJE TRANSPIRABLE. PUNTERA DE Fibra de vidrio. PLANTILLA Antiperforación textil. SUELA DE PU/PU DOBLE DENSIDAD</v>
      </c>
      <c r="F686" t="str">
        <f>PROPER(E686)</f>
        <v>Zapato Mf Serraje S1+P+Ci+Src+Esd Negro 37. Fabricado En Microfibra Acabado Piel Serraje Transpirable. Puntera De Fibra De Vidrio. Plantilla Antiperforación Textil. Suela De Pu/Pu Doble Densidad</v>
      </c>
      <c r="G686" s="24">
        <f>VLOOKUP(B686,Tabla1[],2,0)</f>
        <v>21.8</v>
      </c>
      <c r="H686" s="24">
        <f>+G686/0.72</f>
        <v>30.277777777777779</v>
      </c>
      <c r="I686" s="24">
        <f>+H686*1.21</f>
        <v>36.636111111111113</v>
      </c>
      <c r="J686" s="24" t="s">
        <v>2359</v>
      </c>
      <c r="K686" s="24" t="s">
        <v>2371</v>
      </c>
      <c r="L686" t="s">
        <v>1392</v>
      </c>
      <c r="M686" t="s">
        <v>1408</v>
      </c>
      <c r="N686" t="s">
        <v>1425</v>
      </c>
      <c r="O686" t="s">
        <v>1428</v>
      </c>
      <c r="P686" t="s">
        <v>1429</v>
      </c>
      <c r="Q686">
        <v>37</v>
      </c>
      <c r="R686" s="2">
        <v>8457780268977</v>
      </c>
      <c r="S686" s="3" t="s">
        <v>1271</v>
      </c>
      <c r="T686" t="s">
        <v>1332</v>
      </c>
      <c r="U686" t="s">
        <v>1333</v>
      </c>
    </row>
    <row r="687" spans="1:21" x14ac:dyDescent="0.25">
      <c r="A687" t="s">
        <v>637</v>
      </c>
      <c r="B687" t="s">
        <v>2265</v>
      </c>
      <c r="C687" t="s">
        <v>641</v>
      </c>
      <c r="D687" t="s">
        <v>1965</v>
      </c>
      <c r="E687" t="str">
        <f>+CONCATENATE(D687,". FABRICADO EN ",M687,". PUNTERA DE ",N687,". PLANTILLA ",O687,". SUELA DE ",P687)</f>
        <v>ZAPATO MF SERRAJE S1+P+CI+SRC+ESD Negro 38. FABRICADO EN MICROFIBRA ACABADO PIEL SERRAJE TRANSPIRABLE. PUNTERA DE Fibra de vidrio. PLANTILLA Antiperforación textil. SUELA DE PU/PU DOBLE DENSIDAD</v>
      </c>
      <c r="F687" t="str">
        <f>PROPER(E687)</f>
        <v>Zapato Mf Serraje S1+P+Ci+Src+Esd Negro 38. Fabricado En Microfibra Acabado Piel Serraje Transpirable. Puntera De Fibra De Vidrio. Plantilla Antiperforación Textil. Suela De Pu/Pu Doble Densidad</v>
      </c>
      <c r="G687" s="24">
        <f>VLOOKUP(B687,Tabla1[],2,0)</f>
        <v>21.8</v>
      </c>
      <c r="H687" s="24">
        <f>+G687/0.72</f>
        <v>30.277777777777779</v>
      </c>
      <c r="I687" s="24">
        <f>+H687*1.21</f>
        <v>36.636111111111113</v>
      </c>
      <c r="J687" s="24" t="s">
        <v>2359</v>
      </c>
      <c r="K687" s="24" t="s">
        <v>2371</v>
      </c>
      <c r="L687" t="s">
        <v>1392</v>
      </c>
      <c r="M687" t="s">
        <v>1408</v>
      </c>
      <c r="N687" t="s">
        <v>1425</v>
      </c>
      <c r="O687" t="s">
        <v>1428</v>
      </c>
      <c r="P687" t="s">
        <v>1429</v>
      </c>
      <c r="Q687">
        <v>38</v>
      </c>
      <c r="R687" s="2">
        <v>8457780268984</v>
      </c>
      <c r="S687" s="3" t="s">
        <v>1272</v>
      </c>
      <c r="T687" t="s">
        <v>1332</v>
      </c>
      <c r="U687" t="s">
        <v>1333</v>
      </c>
    </row>
    <row r="688" spans="1:21" x14ac:dyDescent="0.25">
      <c r="A688" t="s">
        <v>637</v>
      </c>
      <c r="B688" t="s">
        <v>2265</v>
      </c>
      <c r="C688" t="s">
        <v>642</v>
      </c>
      <c r="D688" t="s">
        <v>1966</v>
      </c>
      <c r="E688" t="str">
        <f>+CONCATENATE(D688,". FABRICADO EN ",M688,". PUNTERA DE ",N688,". PLANTILLA ",O688,". SUELA DE ",P688)</f>
        <v>ZAPATO MF SERRAJE S1+P+CI+SRC+ESD Negro 39. FABRICADO EN MICROFIBRA ACABADO PIEL SERRAJE TRANSPIRABLE. PUNTERA DE Fibra de vidrio. PLANTILLA Antiperforación textil. SUELA DE PU/PU DOBLE DENSIDAD</v>
      </c>
      <c r="F688" t="str">
        <f>PROPER(E688)</f>
        <v>Zapato Mf Serraje S1+P+Ci+Src+Esd Negro 39. Fabricado En Microfibra Acabado Piel Serraje Transpirable. Puntera De Fibra De Vidrio. Plantilla Antiperforación Textil. Suela De Pu/Pu Doble Densidad</v>
      </c>
      <c r="G688" s="24">
        <f>VLOOKUP(B688,Tabla1[],2,0)</f>
        <v>21.8</v>
      </c>
      <c r="H688" s="24">
        <f>+G688/0.72</f>
        <v>30.277777777777779</v>
      </c>
      <c r="I688" s="24">
        <f>+H688*1.21</f>
        <v>36.636111111111113</v>
      </c>
      <c r="J688" s="24" t="s">
        <v>2359</v>
      </c>
      <c r="K688" s="24" t="s">
        <v>2371</v>
      </c>
      <c r="L688" t="s">
        <v>1392</v>
      </c>
      <c r="M688" t="s">
        <v>1408</v>
      </c>
      <c r="N688" t="s">
        <v>1425</v>
      </c>
      <c r="O688" t="s">
        <v>1428</v>
      </c>
      <c r="P688" t="s">
        <v>1429</v>
      </c>
      <c r="Q688">
        <v>39</v>
      </c>
      <c r="R688" s="2">
        <v>8457780268991</v>
      </c>
      <c r="S688" s="3" t="s">
        <v>1273</v>
      </c>
      <c r="T688" t="s">
        <v>1332</v>
      </c>
      <c r="U688" t="s">
        <v>1333</v>
      </c>
    </row>
    <row r="689" spans="1:21" x14ac:dyDescent="0.25">
      <c r="A689" t="s">
        <v>637</v>
      </c>
      <c r="B689" t="s">
        <v>2265</v>
      </c>
      <c r="C689" t="s">
        <v>643</v>
      </c>
      <c r="D689" t="s">
        <v>1967</v>
      </c>
      <c r="E689" t="str">
        <f>+CONCATENATE(D689,". FABRICADO EN ",M689,". PUNTERA DE ",N689,". PLANTILLA ",O689,". SUELA DE ",P689)</f>
        <v>ZAPATO MF SERRAJE S1+P+CI+SRC+ESD Negro 40. FABRICADO EN MICROFIBRA ACABADO PIEL SERRAJE TRANSPIRABLE. PUNTERA DE Fibra de vidrio. PLANTILLA Antiperforación textil. SUELA DE PU/PU DOBLE DENSIDAD</v>
      </c>
      <c r="F689" t="str">
        <f>PROPER(E689)</f>
        <v>Zapato Mf Serraje S1+P+Ci+Src+Esd Negro 40. Fabricado En Microfibra Acabado Piel Serraje Transpirable. Puntera De Fibra De Vidrio. Plantilla Antiperforación Textil. Suela De Pu/Pu Doble Densidad</v>
      </c>
      <c r="G689" s="24">
        <f>VLOOKUP(B689,Tabla1[],2,0)</f>
        <v>21.8</v>
      </c>
      <c r="H689" s="24">
        <f>+G689/0.72</f>
        <v>30.277777777777779</v>
      </c>
      <c r="I689" s="24">
        <f>+H689*1.21</f>
        <v>36.636111111111113</v>
      </c>
      <c r="J689" s="24" t="s">
        <v>2359</v>
      </c>
      <c r="K689" s="24" t="s">
        <v>2371</v>
      </c>
      <c r="L689" t="s">
        <v>1392</v>
      </c>
      <c r="M689" t="s">
        <v>1408</v>
      </c>
      <c r="N689" t="s">
        <v>1425</v>
      </c>
      <c r="O689" t="s">
        <v>1428</v>
      </c>
      <c r="P689" t="s">
        <v>1429</v>
      </c>
      <c r="Q689">
        <v>40</v>
      </c>
      <c r="R689" s="2">
        <v>8457780269004</v>
      </c>
      <c r="S689" s="3" t="s">
        <v>1274</v>
      </c>
      <c r="T689" t="s">
        <v>1332</v>
      </c>
      <c r="U689" t="s">
        <v>1333</v>
      </c>
    </row>
    <row r="690" spans="1:21" x14ac:dyDescent="0.25">
      <c r="A690" t="s">
        <v>637</v>
      </c>
      <c r="B690" t="s">
        <v>2265</v>
      </c>
      <c r="C690" t="s">
        <v>644</v>
      </c>
      <c r="D690" t="s">
        <v>1968</v>
      </c>
      <c r="E690" t="str">
        <f>+CONCATENATE(D690,". FABRICADO EN ",M690,". PUNTERA DE ",N690,". PLANTILLA ",O690,". SUELA DE ",P690)</f>
        <v>ZAPATO MF SERRAJE S1+P+CI+SRC+ESD Negro 41. FABRICADO EN MICROFIBRA ACABADO PIEL SERRAJE TRANSPIRABLE. PUNTERA DE Fibra de vidrio. PLANTILLA Antiperforación textil. SUELA DE PU/PU DOBLE DENSIDAD</v>
      </c>
      <c r="F690" t="str">
        <f>PROPER(E690)</f>
        <v>Zapato Mf Serraje S1+P+Ci+Src+Esd Negro 41. Fabricado En Microfibra Acabado Piel Serraje Transpirable. Puntera De Fibra De Vidrio. Plantilla Antiperforación Textil. Suela De Pu/Pu Doble Densidad</v>
      </c>
      <c r="G690" s="24">
        <f>VLOOKUP(B690,Tabla1[],2,0)</f>
        <v>21.8</v>
      </c>
      <c r="H690" s="24">
        <f>+G690/0.72</f>
        <v>30.277777777777779</v>
      </c>
      <c r="I690" s="24">
        <f>+H690*1.21</f>
        <v>36.636111111111113</v>
      </c>
      <c r="J690" s="24" t="s">
        <v>2359</v>
      </c>
      <c r="K690" s="24" t="s">
        <v>2371</v>
      </c>
      <c r="L690" t="s">
        <v>1392</v>
      </c>
      <c r="M690" t="s">
        <v>1408</v>
      </c>
      <c r="N690" t="s">
        <v>1425</v>
      </c>
      <c r="O690" t="s">
        <v>1428</v>
      </c>
      <c r="P690" t="s">
        <v>1429</v>
      </c>
      <c r="Q690">
        <v>41</v>
      </c>
      <c r="R690" s="2">
        <v>8457780269011</v>
      </c>
      <c r="S690" s="3" t="s">
        <v>1275</v>
      </c>
      <c r="T690" t="s">
        <v>1332</v>
      </c>
      <c r="U690" t="s">
        <v>1333</v>
      </c>
    </row>
    <row r="691" spans="1:21" x14ac:dyDescent="0.25">
      <c r="A691" t="s">
        <v>637</v>
      </c>
      <c r="B691" t="s">
        <v>2265</v>
      </c>
      <c r="C691" t="s">
        <v>645</v>
      </c>
      <c r="D691" t="s">
        <v>1969</v>
      </c>
      <c r="E691" t="str">
        <f>+CONCATENATE(D691,". FABRICADO EN ",M691,". PUNTERA DE ",N691,". PLANTILLA ",O691,". SUELA DE ",P691)</f>
        <v>ZAPATO MF SERRAJE S1+P+CI+SRC+ESD Negro 42. FABRICADO EN MICROFIBRA ACABADO PIEL SERRAJE TRANSPIRABLE. PUNTERA DE Fibra de vidrio. PLANTILLA Antiperforación textil. SUELA DE PU/PU DOBLE DENSIDAD</v>
      </c>
      <c r="F691" t="str">
        <f>PROPER(E691)</f>
        <v>Zapato Mf Serraje S1+P+Ci+Src+Esd Negro 42. Fabricado En Microfibra Acabado Piel Serraje Transpirable. Puntera De Fibra De Vidrio. Plantilla Antiperforación Textil. Suela De Pu/Pu Doble Densidad</v>
      </c>
      <c r="G691" s="24">
        <f>VLOOKUP(B691,Tabla1[],2,0)</f>
        <v>21.8</v>
      </c>
      <c r="H691" s="24">
        <f>+G691/0.72</f>
        <v>30.277777777777779</v>
      </c>
      <c r="I691" s="24">
        <f>+H691*1.21</f>
        <v>36.636111111111113</v>
      </c>
      <c r="J691" s="24" t="s">
        <v>2359</v>
      </c>
      <c r="K691" s="24" t="s">
        <v>2371</v>
      </c>
      <c r="L691" t="s">
        <v>1392</v>
      </c>
      <c r="M691" t="s">
        <v>1408</v>
      </c>
      <c r="N691" t="s">
        <v>1425</v>
      </c>
      <c r="O691" t="s">
        <v>1428</v>
      </c>
      <c r="P691" t="s">
        <v>1429</v>
      </c>
      <c r="Q691">
        <v>42</v>
      </c>
      <c r="R691" s="2">
        <v>8457780269028</v>
      </c>
      <c r="S691" s="3" t="s">
        <v>1276</v>
      </c>
      <c r="T691" t="s">
        <v>1332</v>
      </c>
      <c r="U691" t="s">
        <v>1333</v>
      </c>
    </row>
    <row r="692" spans="1:21" x14ac:dyDescent="0.25">
      <c r="A692" t="s">
        <v>637</v>
      </c>
      <c r="B692" t="s">
        <v>2265</v>
      </c>
      <c r="C692" t="s">
        <v>646</v>
      </c>
      <c r="D692" t="s">
        <v>1970</v>
      </c>
      <c r="E692" t="str">
        <f>+CONCATENATE(D692,". FABRICADO EN ",M692,". PUNTERA DE ",N692,". PLANTILLA ",O692,". SUELA DE ",P692)</f>
        <v>ZAPATO MF SERRAJE S1+P+CI+SRC+ESD Negro 43. FABRICADO EN MICROFIBRA ACABADO PIEL SERRAJE TRANSPIRABLE. PUNTERA DE Fibra de vidrio. PLANTILLA Antiperforación textil. SUELA DE PU/PU DOBLE DENSIDAD</v>
      </c>
      <c r="F692" t="str">
        <f>PROPER(E692)</f>
        <v>Zapato Mf Serraje S1+P+Ci+Src+Esd Negro 43. Fabricado En Microfibra Acabado Piel Serraje Transpirable. Puntera De Fibra De Vidrio. Plantilla Antiperforación Textil. Suela De Pu/Pu Doble Densidad</v>
      </c>
      <c r="G692" s="24">
        <f>VLOOKUP(B692,Tabla1[],2,0)</f>
        <v>21.8</v>
      </c>
      <c r="H692" s="24">
        <f>+G692/0.72</f>
        <v>30.277777777777779</v>
      </c>
      <c r="I692" s="24">
        <f>+H692*1.21</f>
        <v>36.636111111111113</v>
      </c>
      <c r="J692" s="24" t="s">
        <v>2359</v>
      </c>
      <c r="K692" s="24" t="s">
        <v>2371</v>
      </c>
      <c r="L692" t="s">
        <v>1392</v>
      </c>
      <c r="M692" t="s">
        <v>1408</v>
      </c>
      <c r="N692" t="s">
        <v>1425</v>
      </c>
      <c r="O692" t="s">
        <v>1428</v>
      </c>
      <c r="P692" t="s">
        <v>1429</v>
      </c>
      <c r="Q692">
        <v>43</v>
      </c>
      <c r="R692" s="2">
        <v>8457780269035</v>
      </c>
      <c r="S692" s="3" t="s">
        <v>1277</v>
      </c>
      <c r="T692" t="s">
        <v>1332</v>
      </c>
      <c r="U692" t="s">
        <v>1333</v>
      </c>
    </row>
    <row r="693" spans="1:21" x14ac:dyDescent="0.25">
      <c r="A693" t="s">
        <v>637</v>
      </c>
      <c r="B693" t="s">
        <v>2265</v>
      </c>
      <c r="C693" t="s">
        <v>647</v>
      </c>
      <c r="D693" t="s">
        <v>1971</v>
      </c>
      <c r="E693" t="str">
        <f>+CONCATENATE(D693,". FABRICADO EN ",M693,". PUNTERA DE ",N693,". PLANTILLA ",O693,". SUELA DE ",P693)</f>
        <v>ZAPATO MF SERRAJE S1+P+CI+SRC+ESD Negro 44. FABRICADO EN MICROFIBRA ACABADO PIEL SERRAJE TRANSPIRABLE. PUNTERA DE Fibra de vidrio. PLANTILLA Antiperforación textil. SUELA DE PU/PU DOBLE DENSIDAD</v>
      </c>
      <c r="F693" t="str">
        <f>PROPER(E693)</f>
        <v>Zapato Mf Serraje S1+P+Ci+Src+Esd Negro 44. Fabricado En Microfibra Acabado Piel Serraje Transpirable. Puntera De Fibra De Vidrio. Plantilla Antiperforación Textil. Suela De Pu/Pu Doble Densidad</v>
      </c>
      <c r="G693" s="24">
        <f>VLOOKUP(B693,Tabla1[],2,0)</f>
        <v>21.8</v>
      </c>
      <c r="H693" s="24">
        <f>+G693/0.72</f>
        <v>30.277777777777779</v>
      </c>
      <c r="I693" s="24">
        <f>+H693*1.21</f>
        <v>36.636111111111113</v>
      </c>
      <c r="J693" s="24" t="s">
        <v>2359</v>
      </c>
      <c r="K693" s="24" t="s">
        <v>2371</v>
      </c>
      <c r="L693" t="s">
        <v>1392</v>
      </c>
      <c r="M693" t="s">
        <v>1408</v>
      </c>
      <c r="N693" t="s">
        <v>1425</v>
      </c>
      <c r="O693" t="s">
        <v>1428</v>
      </c>
      <c r="P693" t="s">
        <v>1429</v>
      </c>
      <c r="Q693">
        <v>44</v>
      </c>
      <c r="R693" s="2">
        <v>8457780269042</v>
      </c>
      <c r="S693" s="3" t="s">
        <v>1278</v>
      </c>
      <c r="T693" t="s">
        <v>1332</v>
      </c>
      <c r="U693" t="s">
        <v>1333</v>
      </c>
    </row>
    <row r="694" spans="1:21" x14ac:dyDescent="0.25">
      <c r="A694" t="s">
        <v>637</v>
      </c>
      <c r="B694" t="s">
        <v>2265</v>
      </c>
      <c r="C694" t="s">
        <v>648</v>
      </c>
      <c r="D694" t="s">
        <v>1972</v>
      </c>
      <c r="E694" t="str">
        <f>+CONCATENATE(D694,". FABRICADO EN ",M694,". PUNTERA DE ",N694,". PLANTILLA ",O694,". SUELA DE ",P694)</f>
        <v>ZAPATO MF SERRAJE S1+P+CI+SRC+ESD Negro 45. FABRICADO EN MICROFIBRA ACABADO PIEL SERRAJE TRANSPIRABLE. PUNTERA DE Fibra de vidrio. PLANTILLA Antiperforación textil. SUELA DE PU/PU DOBLE DENSIDAD</v>
      </c>
      <c r="F694" t="str">
        <f>PROPER(E694)</f>
        <v>Zapato Mf Serraje S1+P+Ci+Src+Esd Negro 45. Fabricado En Microfibra Acabado Piel Serraje Transpirable. Puntera De Fibra De Vidrio. Plantilla Antiperforación Textil. Suela De Pu/Pu Doble Densidad</v>
      </c>
      <c r="G694" s="24">
        <f>VLOOKUP(B694,Tabla1[],2,0)</f>
        <v>21.8</v>
      </c>
      <c r="H694" s="24">
        <f>+G694/0.72</f>
        <v>30.277777777777779</v>
      </c>
      <c r="I694" s="24">
        <f>+H694*1.21</f>
        <v>36.636111111111113</v>
      </c>
      <c r="J694" s="24" t="s">
        <v>2359</v>
      </c>
      <c r="K694" s="24" t="s">
        <v>2371</v>
      </c>
      <c r="L694" t="s">
        <v>1392</v>
      </c>
      <c r="M694" t="s">
        <v>1408</v>
      </c>
      <c r="N694" t="s">
        <v>1425</v>
      </c>
      <c r="O694" t="s">
        <v>1428</v>
      </c>
      <c r="P694" t="s">
        <v>1429</v>
      </c>
      <c r="Q694">
        <v>45</v>
      </c>
      <c r="R694" s="2">
        <v>8457780269059</v>
      </c>
      <c r="S694" s="3" t="s">
        <v>1279</v>
      </c>
      <c r="T694" t="s">
        <v>1332</v>
      </c>
      <c r="U694" t="s">
        <v>1333</v>
      </c>
    </row>
    <row r="695" spans="1:21" x14ac:dyDescent="0.25">
      <c r="A695" t="s">
        <v>637</v>
      </c>
      <c r="B695" t="s">
        <v>2265</v>
      </c>
      <c r="C695" t="s">
        <v>649</v>
      </c>
      <c r="D695" t="s">
        <v>1973</v>
      </c>
      <c r="E695" t="str">
        <f>+CONCATENATE(D695,". FABRICADO EN ",M695,". PUNTERA DE ",N695,". PLANTILLA ",O695,". SUELA DE ",P695)</f>
        <v>ZAPATO MF SERRAJE S1+P+CI+SRC+ESD Negro 46. FABRICADO EN MICROFIBRA ACABADO PIEL SERRAJE TRANSPIRABLE. PUNTERA DE Fibra de vidrio. PLANTILLA Antiperforación textil. SUELA DE PU/PU DOBLE DENSIDAD</v>
      </c>
      <c r="F695" t="str">
        <f>PROPER(E695)</f>
        <v>Zapato Mf Serraje S1+P+Ci+Src+Esd Negro 46. Fabricado En Microfibra Acabado Piel Serraje Transpirable. Puntera De Fibra De Vidrio. Plantilla Antiperforación Textil. Suela De Pu/Pu Doble Densidad</v>
      </c>
      <c r="G695" s="24">
        <f>VLOOKUP(B695,Tabla1[],2,0)</f>
        <v>21.8</v>
      </c>
      <c r="H695" s="24">
        <f>+G695/0.72</f>
        <v>30.277777777777779</v>
      </c>
      <c r="I695" s="24">
        <f>+H695*1.21</f>
        <v>36.636111111111113</v>
      </c>
      <c r="J695" s="24" t="s">
        <v>2359</v>
      </c>
      <c r="K695" s="24" t="s">
        <v>2371</v>
      </c>
      <c r="L695" t="s">
        <v>1392</v>
      </c>
      <c r="M695" t="s">
        <v>1408</v>
      </c>
      <c r="N695" t="s">
        <v>1425</v>
      </c>
      <c r="O695" t="s">
        <v>1428</v>
      </c>
      <c r="P695" t="s">
        <v>1429</v>
      </c>
      <c r="Q695">
        <v>46</v>
      </c>
      <c r="R695" s="2">
        <v>8457780269066</v>
      </c>
      <c r="S695" s="3" t="s">
        <v>1280</v>
      </c>
      <c r="T695" t="s">
        <v>1332</v>
      </c>
      <c r="U695" t="s">
        <v>1333</v>
      </c>
    </row>
    <row r="696" spans="1:21" x14ac:dyDescent="0.25">
      <c r="A696" t="s">
        <v>637</v>
      </c>
      <c r="B696" t="s">
        <v>2265</v>
      </c>
      <c r="C696" t="s">
        <v>650</v>
      </c>
      <c r="D696" t="s">
        <v>1974</v>
      </c>
      <c r="E696" t="str">
        <f>+CONCATENATE(D696,". FABRICADO EN ",M696,". PUNTERA DE ",N696,". PLANTILLA ",O696,". SUELA DE ",P696)</f>
        <v>ZAPATO MF SERRAJE S1+P+CI+SRC+ESD Negro 47. FABRICADO EN MICROFIBRA ACABADO PIEL SERRAJE TRANSPIRABLE. PUNTERA DE Fibra de vidrio. PLANTILLA Antiperforación textil. SUELA DE PU/PU DOBLE DENSIDAD</v>
      </c>
      <c r="F696" t="str">
        <f>PROPER(E696)</f>
        <v>Zapato Mf Serraje S1+P+Ci+Src+Esd Negro 47. Fabricado En Microfibra Acabado Piel Serraje Transpirable. Puntera De Fibra De Vidrio. Plantilla Antiperforación Textil. Suela De Pu/Pu Doble Densidad</v>
      </c>
      <c r="G696" s="24">
        <f>VLOOKUP(B696,Tabla1[],2,0)</f>
        <v>21.8</v>
      </c>
      <c r="H696" s="24">
        <f>+G696/0.72</f>
        <v>30.277777777777779</v>
      </c>
      <c r="I696" s="24">
        <f>+H696*1.21</f>
        <v>36.636111111111113</v>
      </c>
      <c r="J696" s="24" t="s">
        <v>2359</v>
      </c>
      <c r="K696" s="24" t="s">
        <v>2371</v>
      </c>
      <c r="L696" t="s">
        <v>1392</v>
      </c>
      <c r="M696" t="s">
        <v>1408</v>
      </c>
      <c r="N696" t="s">
        <v>1425</v>
      </c>
      <c r="O696" t="s">
        <v>1428</v>
      </c>
      <c r="P696" t="s">
        <v>1429</v>
      </c>
      <c r="Q696">
        <v>47</v>
      </c>
      <c r="R696" s="2">
        <v>8457780269073</v>
      </c>
      <c r="S696" s="3" t="s">
        <v>1281</v>
      </c>
      <c r="T696" t="s">
        <v>1332</v>
      </c>
      <c r="U696" t="s">
        <v>1333</v>
      </c>
    </row>
    <row r="697" spans="1:21" x14ac:dyDescent="0.25">
      <c r="A697" t="s">
        <v>637</v>
      </c>
      <c r="B697" t="s">
        <v>2265</v>
      </c>
      <c r="C697" t="s">
        <v>651</v>
      </c>
      <c r="D697" t="s">
        <v>1975</v>
      </c>
      <c r="E697" t="str">
        <f>+CONCATENATE(D697,". FABRICADO EN ",M697,". PUNTERA DE ",N697,". PLANTILLA ",O697,". SUELA DE ",P697)</f>
        <v>ZAPATO MF SERRAJE S1+P+CI+SRC+ESD Negro 48. FABRICADO EN MICROFIBRA ACABADO PIEL SERRAJE TRANSPIRABLE. PUNTERA DE Fibra de vidrio. PLANTILLA Antiperforación textil. SUELA DE PU/PU DOBLE DENSIDAD</v>
      </c>
      <c r="F697" t="str">
        <f>PROPER(E697)</f>
        <v>Zapato Mf Serraje S1+P+Ci+Src+Esd Negro 48. Fabricado En Microfibra Acabado Piel Serraje Transpirable. Puntera De Fibra De Vidrio. Plantilla Antiperforación Textil. Suela De Pu/Pu Doble Densidad</v>
      </c>
      <c r="G697" s="24">
        <f>VLOOKUP(B697,Tabla1[],2,0)</f>
        <v>21.8</v>
      </c>
      <c r="H697" s="24">
        <f>+G697/0.72</f>
        <v>30.277777777777779</v>
      </c>
      <c r="I697" s="24">
        <f>+H697*1.21</f>
        <v>36.636111111111113</v>
      </c>
      <c r="J697" s="24" t="s">
        <v>2359</v>
      </c>
      <c r="K697" s="24" t="s">
        <v>2371</v>
      </c>
      <c r="L697" t="s">
        <v>1392</v>
      </c>
      <c r="M697" t="s">
        <v>1408</v>
      </c>
      <c r="N697" t="s">
        <v>1425</v>
      </c>
      <c r="O697" t="s">
        <v>1428</v>
      </c>
      <c r="P697" t="s">
        <v>1429</v>
      </c>
      <c r="Q697">
        <v>48</v>
      </c>
      <c r="R697" s="2">
        <v>8457780304057</v>
      </c>
      <c r="S697" s="3" t="s">
        <v>1282</v>
      </c>
      <c r="T697" t="s">
        <v>1332</v>
      </c>
      <c r="U697" t="s">
        <v>1333</v>
      </c>
    </row>
    <row r="698" spans="1:21" x14ac:dyDescent="0.25">
      <c r="A698" t="s">
        <v>652</v>
      </c>
      <c r="B698" t="s">
        <v>2266</v>
      </c>
      <c r="C698" t="s">
        <v>653</v>
      </c>
      <c r="D698" t="s">
        <v>1976</v>
      </c>
      <c r="E698" t="str">
        <f>+CONCATENATE(D698,". FABRICADO EN ",M698,". PUNTERA DE ",N698,". PLANTILLA ",O698,". SUELA DE ",P698)</f>
        <v>ZAPATO S2+CI+FO+SR Blanco 35. FABRICADO EN MICROFIBRA. PUNTERA DE Fibra de vidrio. PLANTILLA No lleva. SUELA DE PU/PU DOBLE DENSIDAD</v>
      </c>
      <c r="F698" t="str">
        <f>PROPER(E698)</f>
        <v>Zapato S2+Ci+Fo+Sr Blanco 35. Fabricado En Microfibra. Puntera De Fibra De Vidrio. Plantilla No Lleva. Suela De Pu/Pu Doble Densidad</v>
      </c>
      <c r="G698" s="24">
        <v>17.95</v>
      </c>
      <c r="H698" s="24">
        <f>+G698/0.7</f>
        <v>25.642857142857142</v>
      </c>
      <c r="I698" s="24">
        <f>+H698*1.21</f>
        <v>31.02785714285714</v>
      </c>
      <c r="J698" s="24" t="s">
        <v>2359</v>
      </c>
      <c r="K698" s="24" t="s">
        <v>2364</v>
      </c>
      <c r="L698" t="s">
        <v>1400</v>
      </c>
      <c r="M698" t="s">
        <v>1407</v>
      </c>
      <c r="N698" t="s">
        <v>1425</v>
      </c>
      <c r="O698" t="s">
        <v>1427</v>
      </c>
      <c r="P698" t="s">
        <v>1429</v>
      </c>
      <c r="Q698">
        <v>35</v>
      </c>
      <c r="R698" s="2">
        <v>8457780322150</v>
      </c>
      <c r="S698" s="3" t="s">
        <v>1283</v>
      </c>
      <c r="T698" t="s">
        <v>1340</v>
      </c>
      <c r="U698" t="s">
        <v>1341</v>
      </c>
    </row>
    <row r="699" spans="1:21" x14ac:dyDescent="0.25">
      <c r="A699" t="s">
        <v>652</v>
      </c>
      <c r="B699" t="s">
        <v>2266</v>
      </c>
      <c r="C699" t="s">
        <v>654</v>
      </c>
      <c r="D699" t="s">
        <v>1977</v>
      </c>
      <c r="E699" t="str">
        <f>+CONCATENATE(D699,". FABRICADO EN ",M699,". PUNTERA DE ",N699,". PLANTILLA ",O699,". SUELA DE ",P699)</f>
        <v>ZAPATO S2+CI+FO+SR Blanco 36. FABRICADO EN MICROFIBRA. PUNTERA DE Fibra de vidrio. PLANTILLA No lleva. SUELA DE PU/PU DOBLE DENSIDAD</v>
      </c>
      <c r="F699" t="str">
        <f>PROPER(E699)</f>
        <v>Zapato S2+Ci+Fo+Sr Blanco 36. Fabricado En Microfibra. Puntera De Fibra De Vidrio. Plantilla No Lleva. Suela De Pu/Pu Doble Densidad</v>
      </c>
      <c r="G699" s="24">
        <v>17.95</v>
      </c>
      <c r="H699" s="24">
        <f>+G699/0.7</f>
        <v>25.642857142857142</v>
      </c>
      <c r="I699" s="24">
        <f>+H699*1.21</f>
        <v>31.02785714285714</v>
      </c>
      <c r="J699" s="24" t="s">
        <v>2359</v>
      </c>
      <c r="K699" s="24" t="s">
        <v>2364</v>
      </c>
      <c r="L699" t="s">
        <v>1400</v>
      </c>
      <c r="M699" t="s">
        <v>1407</v>
      </c>
      <c r="N699" t="s">
        <v>1425</v>
      </c>
      <c r="O699" t="s">
        <v>1427</v>
      </c>
      <c r="P699" t="s">
        <v>1429</v>
      </c>
      <c r="Q699">
        <v>36</v>
      </c>
      <c r="R699" s="2">
        <v>8457780322167</v>
      </c>
      <c r="S699" s="3" t="s">
        <v>1284</v>
      </c>
      <c r="T699" t="s">
        <v>1340</v>
      </c>
      <c r="U699" t="s">
        <v>1341</v>
      </c>
    </row>
    <row r="700" spans="1:21" x14ac:dyDescent="0.25">
      <c r="A700" t="s">
        <v>652</v>
      </c>
      <c r="B700" t="s">
        <v>2266</v>
      </c>
      <c r="C700" t="s">
        <v>655</v>
      </c>
      <c r="D700" t="s">
        <v>1978</v>
      </c>
      <c r="E700" t="str">
        <f>+CONCATENATE(D700,". FABRICADO EN ",M700,". PUNTERA DE ",N700,". PLANTILLA ",O700,". SUELA DE ",P700)</f>
        <v>ZAPATO S2+CI+FO+SR Blanco 37. FABRICADO EN MICROFIBRA. PUNTERA DE Fibra de vidrio. PLANTILLA No lleva. SUELA DE PU/PU DOBLE DENSIDAD</v>
      </c>
      <c r="F700" t="str">
        <f>PROPER(E700)</f>
        <v>Zapato S2+Ci+Fo+Sr Blanco 37. Fabricado En Microfibra. Puntera De Fibra De Vidrio. Plantilla No Lleva. Suela De Pu/Pu Doble Densidad</v>
      </c>
      <c r="G700" s="24">
        <v>17.95</v>
      </c>
      <c r="H700" s="24">
        <f>+G700/0.7</f>
        <v>25.642857142857142</v>
      </c>
      <c r="I700" s="24">
        <f>+H700*1.21</f>
        <v>31.02785714285714</v>
      </c>
      <c r="J700" s="24" t="s">
        <v>2359</v>
      </c>
      <c r="K700" s="24" t="s">
        <v>2364</v>
      </c>
      <c r="L700" t="s">
        <v>1400</v>
      </c>
      <c r="M700" t="s">
        <v>1407</v>
      </c>
      <c r="N700" t="s">
        <v>1425</v>
      </c>
      <c r="O700" t="s">
        <v>1427</v>
      </c>
      <c r="P700" t="s">
        <v>1429</v>
      </c>
      <c r="Q700">
        <v>37</v>
      </c>
      <c r="R700" s="2">
        <v>8457780322174</v>
      </c>
      <c r="S700" s="3" t="s">
        <v>1285</v>
      </c>
      <c r="T700" t="s">
        <v>1340</v>
      </c>
      <c r="U700" t="s">
        <v>1341</v>
      </c>
    </row>
    <row r="701" spans="1:21" x14ac:dyDescent="0.25">
      <c r="A701" t="s">
        <v>652</v>
      </c>
      <c r="B701" t="s">
        <v>2266</v>
      </c>
      <c r="C701" t="s">
        <v>656</v>
      </c>
      <c r="D701" t="s">
        <v>1979</v>
      </c>
      <c r="E701" t="str">
        <f>+CONCATENATE(D701,". FABRICADO EN ",M701,". PUNTERA DE ",N701,". PLANTILLA ",O701,". SUELA DE ",P701)</f>
        <v>ZAPATO S2+CI+FO+SR Blanco 38. FABRICADO EN MICROFIBRA. PUNTERA DE Fibra de vidrio. PLANTILLA No lleva. SUELA DE PU/PU DOBLE DENSIDAD</v>
      </c>
      <c r="F701" t="str">
        <f>PROPER(E701)</f>
        <v>Zapato S2+Ci+Fo+Sr Blanco 38. Fabricado En Microfibra. Puntera De Fibra De Vidrio. Plantilla No Lleva. Suela De Pu/Pu Doble Densidad</v>
      </c>
      <c r="G701" s="24">
        <v>17.95</v>
      </c>
      <c r="H701" s="24">
        <f>+G701/0.7</f>
        <v>25.642857142857142</v>
      </c>
      <c r="I701" s="24">
        <f>+H701*1.21</f>
        <v>31.02785714285714</v>
      </c>
      <c r="J701" s="24" t="s">
        <v>2359</v>
      </c>
      <c r="K701" s="24" t="s">
        <v>2364</v>
      </c>
      <c r="L701" t="s">
        <v>1400</v>
      </c>
      <c r="M701" t="s">
        <v>1407</v>
      </c>
      <c r="N701" t="s">
        <v>1425</v>
      </c>
      <c r="O701" t="s">
        <v>1427</v>
      </c>
      <c r="P701" t="s">
        <v>1429</v>
      </c>
      <c r="Q701">
        <v>38</v>
      </c>
      <c r="R701" s="2">
        <v>8457780322181</v>
      </c>
      <c r="S701" s="3" t="s">
        <v>1286</v>
      </c>
      <c r="T701" t="s">
        <v>1340</v>
      </c>
      <c r="U701" t="s">
        <v>1341</v>
      </c>
    </row>
    <row r="702" spans="1:21" x14ac:dyDescent="0.25">
      <c r="A702" t="s">
        <v>652</v>
      </c>
      <c r="B702" t="s">
        <v>2266</v>
      </c>
      <c r="C702" t="s">
        <v>657</v>
      </c>
      <c r="D702" t="s">
        <v>1980</v>
      </c>
      <c r="E702" t="str">
        <f>+CONCATENATE(D702,". FABRICADO EN ",M702,". PUNTERA DE ",N702,". PLANTILLA ",O702,". SUELA DE ",P702)</f>
        <v>ZAPATO S2+CI+FO+SR Blanco 39. FABRICADO EN MICROFIBRA. PUNTERA DE Fibra de vidrio. PLANTILLA No lleva. SUELA DE PU/PU DOBLE DENSIDAD</v>
      </c>
      <c r="F702" t="str">
        <f>PROPER(E702)</f>
        <v>Zapato S2+Ci+Fo+Sr Blanco 39. Fabricado En Microfibra. Puntera De Fibra De Vidrio. Plantilla No Lleva. Suela De Pu/Pu Doble Densidad</v>
      </c>
      <c r="G702" s="24">
        <v>17.95</v>
      </c>
      <c r="H702" s="24">
        <f>+G702/0.7</f>
        <v>25.642857142857142</v>
      </c>
      <c r="I702" s="24">
        <f>+H702*1.21</f>
        <v>31.02785714285714</v>
      </c>
      <c r="J702" s="24" t="s">
        <v>2359</v>
      </c>
      <c r="K702" s="24" t="s">
        <v>2364</v>
      </c>
      <c r="L702" t="s">
        <v>1400</v>
      </c>
      <c r="M702" t="s">
        <v>1407</v>
      </c>
      <c r="N702" t="s">
        <v>1425</v>
      </c>
      <c r="O702" t="s">
        <v>1427</v>
      </c>
      <c r="P702" t="s">
        <v>1429</v>
      </c>
      <c r="Q702">
        <v>39</v>
      </c>
      <c r="R702" s="2">
        <v>8457780322198</v>
      </c>
      <c r="S702" s="3" t="s">
        <v>1287</v>
      </c>
      <c r="T702" t="s">
        <v>1340</v>
      </c>
      <c r="U702" t="s">
        <v>1341</v>
      </c>
    </row>
    <row r="703" spans="1:21" x14ac:dyDescent="0.25">
      <c r="A703" t="s">
        <v>652</v>
      </c>
      <c r="B703" t="s">
        <v>2266</v>
      </c>
      <c r="C703" t="s">
        <v>658</v>
      </c>
      <c r="D703" t="s">
        <v>1981</v>
      </c>
      <c r="E703" t="str">
        <f>+CONCATENATE(D703,". FABRICADO EN ",M703,". PUNTERA DE ",N703,". PLANTILLA ",O703,". SUELA DE ",P703)</f>
        <v>ZAPATO S2+CI+FO+SR Blanco 40. FABRICADO EN MICROFIBRA. PUNTERA DE Fibra de vidrio. PLANTILLA No lleva. SUELA DE PU/PU DOBLE DENSIDAD</v>
      </c>
      <c r="F703" t="str">
        <f>PROPER(E703)</f>
        <v>Zapato S2+Ci+Fo+Sr Blanco 40. Fabricado En Microfibra. Puntera De Fibra De Vidrio. Plantilla No Lleva. Suela De Pu/Pu Doble Densidad</v>
      </c>
      <c r="G703" s="24">
        <v>17.95</v>
      </c>
      <c r="H703" s="24">
        <f>+G703/0.7</f>
        <v>25.642857142857142</v>
      </c>
      <c r="I703" s="24">
        <f>+H703*1.21</f>
        <v>31.02785714285714</v>
      </c>
      <c r="J703" s="24" t="s">
        <v>2359</v>
      </c>
      <c r="K703" s="24" t="s">
        <v>2364</v>
      </c>
      <c r="L703" t="s">
        <v>1400</v>
      </c>
      <c r="M703" t="s">
        <v>1407</v>
      </c>
      <c r="N703" t="s">
        <v>1425</v>
      </c>
      <c r="O703" t="s">
        <v>1427</v>
      </c>
      <c r="P703" t="s">
        <v>1429</v>
      </c>
      <c r="Q703">
        <v>40</v>
      </c>
      <c r="R703" s="2">
        <v>8457780322204</v>
      </c>
      <c r="S703" s="3" t="s">
        <v>1288</v>
      </c>
      <c r="T703" t="s">
        <v>1340</v>
      </c>
      <c r="U703" t="s">
        <v>1341</v>
      </c>
    </row>
    <row r="704" spans="1:21" x14ac:dyDescent="0.25">
      <c r="A704" t="s">
        <v>652</v>
      </c>
      <c r="B704" t="s">
        <v>2266</v>
      </c>
      <c r="C704" t="s">
        <v>659</v>
      </c>
      <c r="D704" t="s">
        <v>1982</v>
      </c>
      <c r="E704" t="str">
        <f>+CONCATENATE(D704,". FABRICADO EN ",M704,". PUNTERA DE ",N704,". PLANTILLA ",O704,". SUELA DE ",P704)</f>
        <v>ZAPATO S2+CI+FO+SR Blanco 41. FABRICADO EN MICROFIBRA. PUNTERA DE Fibra de vidrio. PLANTILLA No lleva. SUELA DE PU/PU DOBLE DENSIDAD</v>
      </c>
      <c r="F704" t="str">
        <f>PROPER(E704)</f>
        <v>Zapato S2+Ci+Fo+Sr Blanco 41. Fabricado En Microfibra. Puntera De Fibra De Vidrio. Plantilla No Lleva. Suela De Pu/Pu Doble Densidad</v>
      </c>
      <c r="G704" s="24">
        <v>17.95</v>
      </c>
      <c r="H704" s="24">
        <f>+G704/0.7</f>
        <v>25.642857142857142</v>
      </c>
      <c r="I704" s="24">
        <f>+H704*1.21</f>
        <v>31.02785714285714</v>
      </c>
      <c r="J704" s="24" t="s">
        <v>2359</v>
      </c>
      <c r="K704" s="24" t="s">
        <v>2364</v>
      </c>
      <c r="L704" t="s">
        <v>1400</v>
      </c>
      <c r="M704" t="s">
        <v>1407</v>
      </c>
      <c r="N704" t="s">
        <v>1425</v>
      </c>
      <c r="O704" t="s">
        <v>1427</v>
      </c>
      <c r="P704" t="s">
        <v>1429</v>
      </c>
      <c r="Q704">
        <v>41</v>
      </c>
      <c r="R704" s="2">
        <v>8457780322211</v>
      </c>
      <c r="S704" s="3" t="s">
        <v>1289</v>
      </c>
      <c r="T704" t="s">
        <v>1340</v>
      </c>
      <c r="U704" t="s">
        <v>1341</v>
      </c>
    </row>
    <row r="705" spans="1:21" x14ac:dyDescent="0.25">
      <c r="A705" t="s">
        <v>652</v>
      </c>
      <c r="B705" t="s">
        <v>2266</v>
      </c>
      <c r="C705" t="s">
        <v>660</v>
      </c>
      <c r="D705" t="s">
        <v>1983</v>
      </c>
      <c r="E705" t="str">
        <f>+CONCATENATE(D705,". FABRICADO EN ",M705,". PUNTERA DE ",N705,". PLANTILLA ",O705,". SUELA DE ",P705)</f>
        <v>ZAPATO S2+CI+FO+SR Blanco 42. FABRICADO EN MICROFIBRA. PUNTERA DE Fibra de vidrio. PLANTILLA No lleva. SUELA DE PU/PU DOBLE DENSIDAD</v>
      </c>
      <c r="F705" t="str">
        <f>PROPER(E705)</f>
        <v>Zapato S2+Ci+Fo+Sr Blanco 42. Fabricado En Microfibra. Puntera De Fibra De Vidrio. Plantilla No Lleva. Suela De Pu/Pu Doble Densidad</v>
      </c>
      <c r="G705" s="24">
        <v>17.95</v>
      </c>
      <c r="H705" s="24">
        <f>+G705/0.7</f>
        <v>25.642857142857142</v>
      </c>
      <c r="I705" s="24">
        <f>+H705*1.21</f>
        <v>31.02785714285714</v>
      </c>
      <c r="J705" s="24" t="s">
        <v>2359</v>
      </c>
      <c r="K705" s="24" t="s">
        <v>2364</v>
      </c>
      <c r="L705" t="s">
        <v>1400</v>
      </c>
      <c r="M705" t="s">
        <v>1407</v>
      </c>
      <c r="N705" t="s">
        <v>1425</v>
      </c>
      <c r="O705" t="s">
        <v>1427</v>
      </c>
      <c r="P705" t="s">
        <v>1429</v>
      </c>
      <c r="Q705">
        <v>42</v>
      </c>
      <c r="R705" s="2">
        <v>8457780322228</v>
      </c>
      <c r="S705" s="3" t="s">
        <v>1290</v>
      </c>
      <c r="T705" t="s">
        <v>1340</v>
      </c>
      <c r="U705" t="s">
        <v>1341</v>
      </c>
    </row>
    <row r="706" spans="1:21" x14ac:dyDescent="0.25">
      <c r="A706" t="s">
        <v>652</v>
      </c>
      <c r="B706" t="s">
        <v>2266</v>
      </c>
      <c r="C706" t="s">
        <v>661</v>
      </c>
      <c r="D706" t="s">
        <v>1984</v>
      </c>
      <c r="E706" t="str">
        <f>+CONCATENATE(D706,". FABRICADO EN ",M706,". PUNTERA DE ",N706,". PLANTILLA ",O706,". SUELA DE ",P706)</f>
        <v>ZAPATO S2+CI+FO+SR Blanco 43. FABRICADO EN MICROFIBRA. PUNTERA DE Fibra de vidrio. PLANTILLA No lleva. SUELA DE PU/PU DOBLE DENSIDAD</v>
      </c>
      <c r="F706" t="str">
        <f>PROPER(E706)</f>
        <v>Zapato S2+Ci+Fo+Sr Blanco 43. Fabricado En Microfibra. Puntera De Fibra De Vidrio. Plantilla No Lleva. Suela De Pu/Pu Doble Densidad</v>
      </c>
      <c r="G706" s="24">
        <v>17.95</v>
      </c>
      <c r="H706" s="24">
        <f>+G706/0.7</f>
        <v>25.642857142857142</v>
      </c>
      <c r="I706" s="24">
        <f>+H706*1.21</f>
        <v>31.02785714285714</v>
      </c>
      <c r="J706" s="24" t="s">
        <v>2359</v>
      </c>
      <c r="K706" s="24" t="s">
        <v>2364</v>
      </c>
      <c r="L706" t="s">
        <v>1400</v>
      </c>
      <c r="M706" t="s">
        <v>1407</v>
      </c>
      <c r="N706" t="s">
        <v>1425</v>
      </c>
      <c r="O706" t="s">
        <v>1427</v>
      </c>
      <c r="P706" t="s">
        <v>1429</v>
      </c>
      <c r="Q706">
        <v>43</v>
      </c>
      <c r="R706" s="2">
        <v>8457780322235</v>
      </c>
      <c r="S706" s="3" t="s">
        <v>1291</v>
      </c>
      <c r="T706" t="s">
        <v>1340</v>
      </c>
      <c r="U706" t="s">
        <v>1341</v>
      </c>
    </row>
    <row r="707" spans="1:21" x14ac:dyDescent="0.25">
      <c r="A707" t="s">
        <v>652</v>
      </c>
      <c r="B707" t="s">
        <v>2266</v>
      </c>
      <c r="C707" t="s">
        <v>662</v>
      </c>
      <c r="D707" t="s">
        <v>1985</v>
      </c>
      <c r="E707" t="str">
        <f>+CONCATENATE(D707,". FABRICADO EN ",M707,". PUNTERA DE ",N707,". PLANTILLA ",O707,". SUELA DE ",P707)</f>
        <v>ZAPATO S2+CI+FO+SR Blanco 44. FABRICADO EN MICROFIBRA. PUNTERA DE Fibra de vidrio. PLANTILLA No lleva. SUELA DE PU/PU DOBLE DENSIDAD</v>
      </c>
      <c r="F707" t="str">
        <f>PROPER(E707)</f>
        <v>Zapato S2+Ci+Fo+Sr Blanco 44. Fabricado En Microfibra. Puntera De Fibra De Vidrio. Plantilla No Lleva. Suela De Pu/Pu Doble Densidad</v>
      </c>
      <c r="G707" s="24">
        <v>17.95</v>
      </c>
      <c r="H707" s="24">
        <f>+G707/0.7</f>
        <v>25.642857142857142</v>
      </c>
      <c r="I707" s="24">
        <f>+H707*1.21</f>
        <v>31.02785714285714</v>
      </c>
      <c r="J707" s="24" t="s">
        <v>2359</v>
      </c>
      <c r="K707" s="24" t="s">
        <v>2364</v>
      </c>
      <c r="L707" t="s">
        <v>1400</v>
      </c>
      <c r="M707" t="s">
        <v>1407</v>
      </c>
      <c r="N707" t="s">
        <v>1425</v>
      </c>
      <c r="O707" t="s">
        <v>1427</v>
      </c>
      <c r="P707" t="s">
        <v>1429</v>
      </c>
      <c r="Q707">
        <v>44</v>
      </c>
      <c r="R707" s="2">
        <v>8457780322242</v>
      </c>
      <c r="S707" s="3" t="s">
        <v>1292</v>
      </c>
      <c r="T707" t="s">
        <v>1340</v>
      </c>
      <c r="U707" t="s">
        <v>1341</v>
      </c>
    </row>
    <row r="708" spans="1:21" x14ac:dyDescent="0.25">
      <c r="A708" t="s">
        <v>652</v>
      </c>
      <c r="B708" t="s">
        <v>2266</v>
      </c>
      <c r="C708" t="s">
        <v>663</v>
      </c>
      <c r="D708" t="s">
        <v>1986</v>
      </c>
      <c r="E708" t="str">
        <f>+CONCATENATE(D708,". FABRICADO EN ",M708,". PUNTERA DE ",N708,". PLANTILLA ",O708,". SUELA DE ",P708)</f>
        <v>ZAPATO S2+CI+FO+SR Blanco 45. FABRICADO EN MICROFIBRA. PUNTERA DE Fibra de vidrio. PLANTILLA No lleva. SUELA DE PU/PU DOBLE DENSIDAD</v>
      </c>
      <c r="F708" t="str">
        <f>PROPER(E708)</f>
        <v>Zapato S2+Ci+Fo+Sr Blanco 45. Fabricado En Microfibra. Puntera De Fibra De Vidrio. Plantilla No Lleva. Suela De Pu/Pu Doble Densidad</v>
      </c>
      <c r="G708" s="24">
        <v>17.95</v>
      </c>
      <c r="H708" s="24">
        <f>+G708/0.7</f>
        <v>25.642857142857142</v>
      </c>
      <c r="I708" s="24">
        <f>+H708*1.21</f>
        <v>31.02785714285714</v>
      </c>
      <c r="J708" s="24" t="s">
        <v>2359</v>
      </c>
      <c r="K708" s="24" t="s">
        <v>2364</v>
      </c>
      <c r="L708" t="s">
        <v>1400</v>
      </c>
      <c r="M708" t="s">
        <v>1407</v>
      </c>
      <c r="N708" t="s">
        <v>1425</v>
      </c>
      <c r="O708" t="s">
        <v>1427</v>
      </c>
      <c r="P708" t="s">
        <v>1429</v>
      </c>
      <c r="Q708">
        <v>45</v>
      </c>
      <c r="R708" s="2">
        <v>8457780322259</v>
      </c>
      <c r="S708" s="3" t="s">
        <v>1293</v>
      </c>
      <c r="T708" t="s">
        <v>1340</v>
      </c>
      <c r="U708" t="s">
        <v>1341</v>
      </c>
    </row>
    <row r="709" spans="1:21" x14ac:dyDescent="0.25">
      <c r="A709" t="s">
        <v>652</v>
      </c>
      <c r="B709" t="s">
        <v>2266</v>
      </c>
      <c r="C709" t="s">
        <v>664</v>
      </c>
      <c r="D709" t="s">
        <v>1987</v>
      </c>
      <c r="E709" t="str">
        <f>+CONCATENATE(D709,". FABRICADO EN ",M709,". PUNTERA DE ",N709,". PLANTILLA ",O709,". SUELA DE ",P709)</f>
        <v>ZAPATO S2+CI+FO+SR Blanco 46. FABRICADO EN MICROFIBRA. PUNTERA DE Fibra de vidrio. PLANTILLA No lleva. SUELA DE PU/PU DOBLE DENSIDAD</v>
      </c>
      <c r="F709" t="str">
        <f>PROPER(E709)</f>
        <v>Zapato S2+Ci+Fo+Sr Blanco 46. Fabricado En Microfibra. Puntera De Fibra De Vidrio. Plantilla No Lleva. Suela De Pu/Pu Doble Densidad</v>
      </c>
      <c r="G709" s="24">
        <v>17.95</v>
      </c>
      <c r="H709" s="24">
        <f>+G709/0.7</f>
        <v>25.642857142857142</v>
      </c>
      <c r="I709" s="24">
        <f>+H709*1.21</f>
        <v>31.02785714285714</v>
      </c>
      <c r="J709" s="24" t="s">
        <v>2359</v>
      </c>
      <c r="K709" s="24" t="s">
        <v>2364</v>
      </c>
      <c r="L709" t="s">
        <v>1400</v>
      </c>
      <c r="M709" t="s">
        <v>1407</v>
      </c>
      <c r="N709" t="s">
        <v>1425</v>
      </c>
      <c r="O709" t="s">
        <v>1427</v>
      </c>
      <c r="P709" t="s">
        <v>1429</v>
      </c>
      <c r="Q709">
        <v>46</v>
      </c>
      <c r="R709" s="2">
        <v>8457780322266</v>
      </c>
      <c r="S709" s="3" t="s">
        <v>1294</v>
      </c>
      <c r="T709" t="s">
        <v>1340</v>
      </c>
      <c r="U709" t="s">
        <v>1341</v>
      </c>
    </row>
    <row r="710" spans="1:21" x14ac:dyDescent="0.25">
      <c r="A710" t="s">
        <v>652</v>
      </c>
      <c r="B710" t="s">
        <v>2266</v>
      </c>
      <c r="C710" t="s">
        <v>665</v>
      </c>
      <c r="D710" t="s">
        <v>1988</v>
      </c>
      <c r="E710" t="str">
        <f>+CONCATENATE(D710,". FABRICADO EN ",M710,". PUNTERA DE ",N710,". PLANTILLA ",O710,". SUELA DE ",P710)</f>
        <v>ZAPATO S2+CI+FO+SR Blanco 47. FABRICADO EN MICROFIBRA. PUNTERA DE Fibra de vidrio. PLANTILLA No lleva. SUELA DE PU/PU DOBLE DENSIDAD</v>
      </c>
      <c r="F710" t="str">
        <f>PROPER(E710)</f>
        <v>Zapato S2+Ci+Fo+Sr Blanco 47. Fabricado En Microfibra. Puntera De Fibra De Vidrio. Plantilla No Lleva. Suela De Pu/Pu Doble Densidad</v>
      </c>
      <c r="G710" s="24">
        <v>17.95</v>
      </c>
      <c r="H710" s="24">
        <f>+G710/0.7</f>
        <v>25.642857142857142</v>
      </c>
      <c r="I710" s="24">
        <f>+H710*1.21</f>
        <v>31.02785714285714</v>
      </c>
      <c r="J710" s="24" t="s">
        <v>2359</v>
      </c>
      <c r="K710" s="24" t="s">
        <v>2364</v>
      </c>
      <c r="L710" t="s">
        <v>1400</v>
      </c>
      <c r="M710" t="s">
        <v>1407</v>
      </c>
      <c r="N710" t="s">
        <v>1425</v>
      </c>
      <c r="O710" t="s">
        <v>1427</v>
      </c>
      <c r="P710" t="s">
        <v>1429</v>
      </c>
      <c r="Q710">
        <v>47</v>
      </c>
      <c r="R710" s="2">
        <v>8457780322273</v>
      </c>
      <c r="S710" s="3" t="s">
        <v>1295</v>
      </c>
      <c r="T710" t="s">
        <v>1340</v>
      </c>
      <c r="U710" t="s">
        <v>1341</v>
      </c>
    </row>
    <row r="711" spans="1:21" x14ac:dyDescent="0.25">
      <c r="A711" t="s">
        <v>652</v>
      </c>
      <c r="B711" t="s">
        <v>2266</v>
      </c>
      <c r="C711" t="s">
        <v>666</v>
      </c>
      <c r="D711" t="s">
        <v>1989</v>
      </c>
      <c r="E711" t="str">
        <f>+CONCATENATE(D711,". FABRICADO EN ",M711,". PUNTERA DE ",N711,". PLANTILLA ",O711,". SUELA DE ",P711)</f>
        <v>ZAPATO S2+CI+FO+SR Blanco 48. FABRICADO EN MICROFIBRA. PUNTERA DE Fibra de vidrio. PLANTILLA No lleva. SUELA DE PU/PU DOBLE DENSIDAD</v>
      </c>
      <c r="F711" t="str">
        <f>PROPER(E711)</f>
        <v>Zapato S2+Ci+Fo+Sr Blanco 48. Fabricado En Microfibra. Puntera De Fibra De Vidrio. Plantilla No Lleva. Suela De Pu/Pu Doble Densidad</v>
      </c>
      <c r="G711" s="24">
        <v>17.95</v>
      </c>
      <c r="H711" s="24">
        <f>+G711/0.7</f>
        <v>25.642857142857142</v>
      </c>
      <c r="I711" s="24">
        <f>+H711*1.21</f>
        <v>31.02785714285714</v>
      </c>
      <c r="J711" s="24" t="s">
        <v>2359</v>
      </c>
      <c r="K711" s="24" t="s">
        <v>2364</v>
      </c>
      <c r="L711" t="s">
        <v>1400</v>
      </c>
      <c r="M711" t="s">
        <v>1407</v>
      </c>
      <c r="N711" t="s">
        <v>1425</v>
      </c>
      <c r="O711" t="s">
        <v>1427</v>
      </c>
      <c r="P711" t="s">
        <v>1429</v>
      </c>
      <c r="Q711">
        <v>48</v>
      </c>
      <c r="R711" s="2">
        <v>8457780322280</v>
      </c>
      <c r="S711" s="3" t="s">
        <v>1296</v>
      </c>
      <c r="T711" t="s">
        <v>1340</v>
      </c>
      <c r="U711" t="s">
        <v>1341</v>
      </c>
    </row>
    <row r="712" spans="1:21" x14ac:dyDescent="0.25">
      <c r="A712" t="s">
        <v>667</v>
      </c>
      <c r="B712" t="s">
        <v>2267</v>
      </c>
      <c r="C712" t="s">
        <v>668</v>
      </c>
      <c r="D712" t="s">
        <v>1990</v>
      </c>
      <c r="E712" t="str">
        <f>+CONCATENATE(D712,". FABRICADO EN ",M712,". PUNTERA DE ",N712,". PLANTILLA ",O712,". SUELA DE ",P712)</f>
        <v>ZAPATO S2+CI+FO+SR Negro 35. FABRICADO EN MICROFIBRA. PUNTERA DE Fibra de vidrio. PLANTILLA No lleva. SUELA DE PU/PU DOBLE DENSIDAD</v>
      </c>
      <c r="F712" t="str">
        <f>PROPER(E712)</f>
        <v>Zapato S2+Ci+Fo+Sr Negro 35. Fabricado En Microfibra. Puntera De Fibra De Vidrio. Plantilla No Lleva. Suela De Pu/Pu Doble Densidad</v>
      </c>
      <c r="G712" s="24">
        <v>17.95</v>
      </c>
      <c r="H712" s="24">
        <f>+G712/0.7</f>
        <v>25.642857142857142</v>
      </c>
      <c r="I712" s="24">
        <f>+H712*1.21</f>
        <v>31.02785714285714</v>
      </c>
      <c r="J712" s="24" t="s">
        <v>2359</v>
      </c>
      <c r="K712" s="24" t="s">
        <v>2364</v>
      </c>
      <c r="L712" t="s">
        <v>1392</v>
      </c>
      <c r="M712" t="s">
        <v>1407</v>
      </c>
      <c r="N712" t="s">
        <v>1425</v>
      </c>
      <c r="O712" t="s">
        <v>1427</v>
      </c>
      <c r="P712" t="s">
        <v>1429</v>
      </c>
      <c r="Q712">
        <v>35</v>
      </c>
      <c r="R712" s="2">
        <v>8457780322297</v>
      </c>
      <c r="S712" s="3" t="s">
        <v>1297</v>
      </c>
      <c r="T712" t="s">
        <v>1342</v>
      </c>
      <c r="U712" t="s">
        <v>1343</v>
      </c>
    </row>
    <row r="713" spans="1:21" x14ac:dyDescent="0.25">
      <c r="A713" t="s">
        <v>667</v>
      </c>
      <c r="B713" t="s">
        <v>2267</v>
      </c>
      <c r="C713" t="s">
        <v>669</v>
      </c>
      <c r="D713" t="s">
        <v>1991</v>
      </c>
      <c r="E713" t="str">
        <f>+CONCATENATE(D713,". FABRICADO EN ",M713,". PUNTERA DE ",N713,". PLANTILLA ",O713,". SUELA DE ",P713)</f>
        <v>ZAPATO S2+CI+FO+SR Negro 36. FABRICADO EN MICROFIBRA. PUNTERA DE Fibra de vidrio. PLANTILLA No lleva. SUELA DE PU/PU DOBLE DENSIDAD</v>
      </c>
      <c r="F713" t="str">
        <f>PROPER(E713)</f>
        <v>Zapato S2+Ci+Fo+Sr Negro 36. Fabricado En Microfibra. Puntera De Fibra De Vidrio. Plantilla No Lleva. Suela De Pu/Pu Doble Densidad</v>
      </c>
      <c r="G713" s="24">
        <v>17.95</v>
      </c>
      <c r="H713" s="24">
        <f>+G713/0.7</f>
        <v>25.642857142857142</v>
      </c>
      <c r="I713" s="24">
        <f>+H713*1.21</f>
        <v>31.02785714285714</v>
      </c>
      <c r="J713" s="24" t="s">
        <v>2359</v>
      </c>
      <c r="K713" s="24" t="s">
        <v>2364</v>
      </c>
      <c r="L713" t="s">
        <v>1392</v>
      </c>
      <c r="M713" t="s">
        <v>1407</v>
      </c>
      <c r="N713" t="s">
        <v>1425</v>
      </c>
      <c r="O713" t="s">
        <v>1427</v>
      </c>
      <c r="P713" t="s">
        <v>1429</v>
      </c>
      <c r="Q713">
        <v>36</v>
      </c>
      <c r="R713" s="2">
        <v>8457780322303</v>
      </c>
      <c r="S713" s="3" t="s">
        <v>1298</v>
      </c>
      <c r="T713" t="s">
        <v>1342</v>
      </c>
      <c r="U713" t="s">
        <v>1343</v>
      </c>
    </row>
    <row r="714" spans="1:21" x14ac:dyDescent="0.25">
      <c r="A714" t="s">
        <v>667</v>
      </c>
      <c r="B714" t="s">
        <v>2267</v>
      </c>
      <c r="C714" t="s">
        <v>670</v>
      </c>
      <c r="D714" t="s">
        <v>1992</v>
      </c>
      <c r="E714" t="str">
        <f>+CONCATENATE(D714,". FABRICADO EN ",M714,". PUNTERA DE ",N714,". PLANTILLA ",O714,". SUELA DE ",P714)</f>
        <v>ZAPATO S2+CI+FO+SR Negro 37. FABRICADO EN MICROFIBRA. PUNTERA DE Fibra de vidrio. PLANTILLA No lleva. SUELA DE PU/PU DOBLE DENSIDAD</v>
      </c>
      <c r="F714" t="str">
        <f>PROPER(E714)</f>
        <v>Zapato S2+Ci+Fo+Sr Negro 37. Fabricado En Microfibra. Puntera De Fibra De Vidrio. Plantilla No Lleva. Suela De Pu/Pu Doble Densidad</v>
      </c>
      <c r="G714" s="24">
        <v>17.95</v>
      </c>
      <c r="H714" s="24">
        <f>+G714/0.7</f>
        <v>25.642857142857142</v>
      </c>
      <c r="I714" s="24">
        <f>+H714*1.21</f>
        <v>31.02785714285714</v>
      </c>
      <c r="J714" s="24" t="s">
        <v>2359</v>
      </c>
      <c r="K714" s="24" t="s">
        <v>2364</v>
      </c>
      <c r="L714" t="s">
        <v>1392</v>
      </c>
      <c r="M714" t="s">
        <v>1407</v>
      </c>
      <c r="N714" t="s">
        <v>1425</v>
      </c>
      <c r="O714" t="s">
        <v>1427</v>
      </c>
      <c r="P714" t="s">
        <v>1429</v>
      </c>
      <c r="Q714">
        <v>37</v>
      </c>
      <c r="R714" s="2">
        <v>8457780322310</v>
      </c>
      <c r="S714" s="3" t="s">
        <v>1299</v>
      </c>
      <c r="T714" t="s">
        <v>1342</v>
      </c>
      <c r="U714" t="s">
        <v>1343</v>
      </c>
    </row>
    <row r="715" spans="1:21" x14ac:dyDescent="0.25">
      <c r="A715" t="s">
        <v>667</v>
      </c>
      <c r="B715" t="s">
        <v>2267</v>
      </c>
      <c r="C715" t="s">
        <v>671</v>
      </c>
      <c r="D715" t="s">
        <v>1993</v>
      </c>
      <c r="E715" t="str">
        <f>+CONCATENATE(D715,". FABRICADO EN ",M715,". PUNTERA DE ",N715,". PLANTILLA ",O715,". SUELA DE ",P715)</f>
        <v>ZAPATO S2+CI+FO+SR Negro 38. FABRICADO EN MICROFIBRA. PUNTERA DE Fibra de vidrio. PLANTILLA No lleva. SUELA DE PU/PU DOBLE DENSIDAD</v>
      </c>
      <c r="F715" t="str">
        <f>PROPER(E715)</f>
        <v>Zapato S2+Ci+Fo+Sr Negro 38. Fabricado En Microfibra. Puntera De Fibra De Vidrio. Plantilla No Lleva. Suela De Pu/Pu Doble Densidad</v>
      </c>
      <c r="G715" s="24">
        <v>17.95</v>
      </c>
      <c r="H715" s="24">
        <f>+G715/0.7</f>
        <v>25.642857142857142</v>
      </c>
      <c r="I715" s="24">
        <f>+H715*1.21</f>
        <v>31.02785714285714</v>
      </c>
      <c r="J715" s="24" t="s">
        <v>2359</v>
      </c>
      <c r="K715" s="24" t="s">
        <v>2364</v>
      </c>
      <c r="L715" t="s">
        <v>1392</v>
      </c>
      <c r="M715" t="s">
        <v>1407</v>
      </c>
      <c r="N715" t="s">
        <v>1425</v>
      </c>
      <c r="O715" t="s">
        <v>1427</v>
      </c>
      <c r="P715" t="s">
        <v>1429</v>
      </c>
      <c r="Q715">
        <v>38</v>
      </c>
      <c r="R715" s="2">
        <v>8457780322327</v>
      </c>
      <c r="S715" s="3" t="s">
        <v>1300</v>
      </c>
      <c r="T715" t="s">
        <v>1342</v>
      </c>
      <c r="U715" t="s">
        <v>1343</v>
      </c>
    </row>
    <row r="716" spans="1:21" x14ac:dyDescent="0.25">
      <c r="A716" t="s">
        <v>667</v>
      </c>
      <c r="B716" t="s">
        <v>2267</v>
      </c>
      <c r="C716" t="s">
        <v>672</v>
      </c>
      <c r="D716" t="s">
        <v>1994</v>
      </c>
      <c r="E716" t="str">
        <f>+CONCATENATE(D716,". FABRICADO EN ",M716,". PUNTERA DE ",N716,". PLANTILLA ",O716,". SUELA DE ",P716)</f>
        <v>ZAPATO S2+CI+FO+SR Negro 39. FABRICADO EN MICROFIBRA. PUNTERA DE Fibra de vidrio. PLANTILLA No lleva. SUELA DE PU/PU DOBLE DENSIDAD</v>
      </c>
      <c r="F716" t="str">
        <f>PROPER(E716)</f>
        <v>Zapato S2+Ci+Fo+Sr Negro 39. Fabricado En Microfibra. Puntera De Fibra De Vidrio. Plantilla No Lleva. Suela De Pu/Pu Doble Densidad</v>
      </c>
      <c r="G716" s="24">
        <v>17.95</v>
      </c>
      <c r="H716" s="24">
        <f>+G716/0.7</f>
        <v>25.642857142857142</v>
      </c>
      <c r="I716" s="24">
        <f>+H716*1.21</f>
        <v>31.02785714285714</v>
      </c>
      <c r="J716" s="24" t="s">
        <v>2359</v>
      </c>
      <c r="K716" s="24" t="s">
        <v>2364</v>
      </c>
      <c r="L716" t="s">
        <v>1392</v>
      </c>
      <c r="M716" t="s">
        <v>1407</v>
      </c>
      <c r="N716" t="s">
        <v>1425</v>
      </c>
      <c r="O716" t="s">
        <v>1427</v>
      </c>
      <c r="P716" t="s">
        <v>1429</v>
      </c>
      <c r="Q716">
        <v>39</v>
      </c>
      <c r="R716" s="2">
        <v>8457780322334</v>
      </c>
      <c r="S716" s="3" t="s">
        <v>1301</v>
      </c>
      <c r="T716" t="s">
        <v>1342</v>
      </c>
      <c r="U716" t="s">
        <v>1343</v>
      </c>
    </row>
    <row r="717" spans="1:21" x14ac:dyDescent="0.25">
      <c r="A717" t="s">
        <v>667</v>
      </c>
      <c r="B717" t="s">
        <v>2267</v>
      </c>
      <c r="C717" t="s">
        <v>673</v>
      </c>
      <c r="D717" t="s">
        <v>1995</v>
      </c>
      <c r="E717" t="str">
        <f>+CONCATENATE(D717,". FABRICADO EN ",M717,". PUNTERA DE ",N717,". PLANTILLA ",O717,". SUELA DE ",P717)</f>
        <v>ZAPATO S2+CI+FO+SR Negro 40. FABRICADO EN MICROFIBRA. PUNTERA DE Fibra de vidrio. PLANTILLA No lleva. SUELA DE PU/PU DOBLE DENSIDAD</v>
      </c>
      <c r="F717" t="str">
        <f>PROPER(E717)</f>
        <v>Zapato S2+Ci+Fo+Sr Negro 40. Fabricado En Microfibra. Puntera De Fibra De Vidrio. Plantilla No Lleva. Suela De Pu/Pu Doble Densidad</v>
      </c>
      <c r="G717" s="24">
        <v>17.95</v>
      </c>
      <c r="H717" s="24">
        <f>+G717/0.7</f>
        <v>25.642857142857142</v>
      </c>
      <c r="I717" s="24">
        <f>+H717*1.21</f>
        <v>31.02785714285714</v>
      </c>
      <c r="J717" s="24" t="s">
        <v>2359</v>
      </c>
      <c r="K717" s="24" t="s">
        <v>2364</v>
      </c>
      <c r="L717" t="s">
        <v>1392</v>
      </c>
      <c r="M717" t="s">
        <v>1407</v>
      </c>
      <c r="N717" t="s">
        <v>1425</v>
      </c>
      <c r="O717" t="s">
        <v>1427</v>
      </c>
      <c r="P717" t="s">
        <v>1429</v>
      </c>
      <c r="Q717">
        <v>40</v>
      </c>
      <c r="R717" s="2">
        <v>8457780322341</v>
      </c>
      <c r="S717" s="3" t="s">
        <v>1302</v>
      </c>
      <c r="T717" t="s">
        <v>1342</v>
      </c>
      <c r="U717" t="s">
        <v>1343</v>
      </c>
    </row>
    <row r="718" spans="1:21" x14ac:dyDescent="0.25">
      <c r="A718" t="s">
        <v>667</v>
      </c>
      <c r="B718" t="s">
        <v>2267</v>
      </c>
      <c r="C718" t="s">
        <v>674</v>
      </c>
      <c r="D718" t="s">
        <v>1996</v>
      </c>
      <c r="E718" t="str">
        <f>+CONCATENATE(D718,". FABRICADO EN ",M718,". PUNTERA DE ",N718,". PLANTILLA ",O718,". SUELA DE ",P718)</f>
        <v>ZAPATO S2+CI+FO+SR Negro 41. FABRICADO EN MICROFIBRA. PUNTERA DE Fibra de vidrio. PLANTILLA No lleva. SUELA DE PU/PU DOBLE DENSIDAD</v>
      </c>
      <c r="F718" t="str">
        <f>PROPER(E718)</f>
        <v>Zapato S2+Ci+Fo+Sr Negro 41. Fabricado En Microfibra. Puntera De Fibra De Vidrio. Plantilla No Lleva. Suela De Pu/Pu Doble Densidad</v>
      </c>
      <c r="G718" s="24">
        <v>17.95</v>
      </c>
      <c r="H718" s="24">
        <f>+G718/0.7</f>
        <v>25.642857142857142</v>
      </c>
      <c r="I718" s="24">
        <f>+H718*1.21</f>
        <v>31.02785714285714</v>
      </c>
      <c r="J718" s="24" t="s">
        <v>2359</v>
      </c>
      <c r="K718" s="24" t="s">
        <v>2364</v>
      </c>
      <c r="L718" t="s">
        <v>1392</v>
      </c>
      <c r="M718" t="s">
        <v>1407</v>
      </c>
      <c r="N718" t="s">
        <v>1425</v>
      </c>
      <c r="O718" t="s">
        <v>1427</v>
      </c>
      <c r="P718" t="s">
        <v>1429</v>
      </c>
      <c r="Q718">
        <v>41</v>
      </c>
      <c r="R718" s="2">
        <v>8457780322358</v>
      </c>
      <c r="S718" s="3" t="s">
        <v>1303</v>
      </c>
      <c r="T718" t="s">
        <v>1342</v>
      </c>
      <c r="U718" t="s">
        <v>1343</v>
      </c>
    </row>
    <row r="719" spans="1:21" x14ac:dyDescent="0.25">
      <c r="A719" t="s">
        <v>667</v>
      </c>
      <c r="B719" t="s">
        <v>2267</v>
      </c>
      <c r="C719" t="s">
        <v>675</v>
      </c>
      <c r="D719" t="s">
        <v>1997</v>
      </c>
      <c r="E719" t="str">
        <f>+CONCATENATE(D719,". FABRICADO EN ",M719,". PUNTERA DE ",N719,". PLANTILLA ",O719,". SUELA DE ",P719)</f>
        <v>ZAPATO S2+CI+FO+SR Negro 42. FABRICADO EN MICROFIBRA. PUNTERA DE Fibra de vidrio. PLANTILLA No lleva. SUELA DE PU/PU DOBLE DENSIDAD</v>
      </c>
      <c r="F719" t="str">
        <f>PROPER(E719)</f>
        <v>Zapato S2+Ci+Fo+Sr Negro 42. Fabricado En Microfibra. Puntera De Fibra De Vidrio. Plantilla No Lleva. Suela De Pu/Pu Doble Densidad</v>
      </c>
      <c r="G719" s="24">
        <v>17.95</v>
      </c>
      <c r="H719" s="24">
        <f>+G719/0.7</f>
        <v>25.642857142857142</v>
      </c>
      <c r="I719" s="24">
        <f>+H719*1.21</f>
        <v>31.02785714285714</v>
      </c>
      <c r="J719" s="24" t="s">
        <v>2359</v>
      </c>
      <c r="K719" s="24" t="s">
        <v>2364</v>
      </c>
      <c r="L719" t="s">
        <v>1392</v>
      </c>
      <c r="M719" t="s">
        <v>1407</v>
      </c>
      <c r="N719" t="s">
        <v>1425</v>
      </c>
      <c r="O719" t="s">
        <v>1427</v>
      </c>
      <c r="P719" t="s">
        <v>1429</v>
      </c>
      <c r="Q719">
        <v>42</v>
      </c>
      <c r="R719" s="2">
        <v>8457780322365</v>
      </c>
      <c r="S719" s="3" t="s">
        <v>1304</v>
      </c>
      <c r="T719" t="s">
        <v>1342</v>
      </c>
      <c r="U719" t="s">
        <v>1343</v>
      </c>
    </row>
    <row r="720" spans="1:21" x14ac:dyDescent="0.25">
      <c r="A720" t="s">
        <v>667</v>
      </c>
      <c r="B720" t="s">
        <v>2267</v>
      </c>
      <c r="C720" t="s">
        <v>676</v>
      </c>
      <c r="D720" t="s">
        <v>1998</v>
      </c>
      <c r="E720" t="str">
        <f>+CONCATENATE(D720,". FABRICADO EN ",M720,". PUNTERA DE ",N720,". PLANTILLA ",O720,". SUELA DE ",P720)</f>
        <v>ZAPATO S2+CI+FO+SR Negro 43. FABRICADO EN MICROFIBRA. PUNTERA DE Fibra de vidrio. PLANTILLA No lleva. SUELA DE PU/PU DOBLE DENSIDAD</v>
      </c>
      <c r="F720" t="str">
        <f>PROPER(E720)</f>
        <v>Zapato S2+Ci+Fo+Sr Negro 43. Fabricado En Microfibra. Puntera De Fibra De Vidrio. Plantilla No Lleva. Suela De Pu/Pu Doble Densidad</v>
      </c>
      <c r="G720" s="24">
        <v>17.95</v>
      </c>
      <c r="H720" s="24">
        <f>+G720/0.7</f>
        <v>25.642857142857142</v>
      </c>
      <c r="I720" s="24">
        <f>+H720*1.21</f>
        <v>31.02785714285714</v>
      </c>
      <c r="J720" s="24" t="s">
        <v>2359</v>
      </c>
      <c r="K720" s="24" t="s">
        <v>2364</v>
      </c>
      <c r="L720" t="s">
        <v>1392</v>
      </c>
      <c r="M720" t="s">
        <v>1407</v>
      </c>
      <c r="N720" t="s">
        <v>1425</v>
      </c>
      <c r="O720" t="s">
        <v>1427</v>
      </c>
      <c r="P720" t="s">
        <v>1429</v>
      </c>
      <c r="Q720">
        <v>43</v>
      </c>
      <c r="R720" s="2">
        <v>8457780322372</v>
      </c>
      <c r="S720" s="3" t="s">
        <v>1305</v>
      </c>
      <c r="T720" t="s">
        <v>1342</v>
      </c>
      <c r="U720" t="s">
        <v>1343</v>
      </c>
    </row>
    <row r="721" spans="1:21" x14ac:dyDescent="0.25">
      <c r="A721" t="s">
        <v>667</v>
      </c>
      <c r="B721" t="s">
        <v>2267</v>
      </c>
      <c r="C721" t="s">
        <v>677</v>
      </c>
      <c r="D721" t="s">
        <v>1999</v>
      </c>
      <c r="E721" t="str">
        <f>+CONCATENATE(D721,". FABRICADO EN ",M721,". PUNTERA DE ",N721,". PLANTILLA ",O721,". SUELA DE ",P721)</f>
        <v>ZAPATO S2+CI+FO+SR Negro 44. FABRICADO EN MICROFIBRA. PUNTERA DE Fibra de vidrio. PLANTILLA No lleva. SUELA DE PU/PU DOBLE DENSIDAD</v>
      </c>
      <c r="F721" t="str">
        <f>PROPER(E721)</f>
        <v>Zapato S2+Ci+Fo+Sr Negro 44. Fabricado En Microfibra. Puntera De Fibra De Vidrio. Plantilla No Lleva. Suela De Pu/Pu Doble Densidad</v>
      </c>
      <c r="G721" s="24">
        <v>17.95</v>
      </c>
      <c r="H721" s="24">
        <f>+G721/0.7</f>
        <v>25.642857142857142</v>
      </c>
      <c r="I721" s="24">
        <f>+H721*1.21</f>
        <v>31.02785714285714</v>
      </c>
      <c r="J721" s="24" t="s">
        <v>2359</v>
      </c>
      <c r="K721" s="24" t="s">
        <v>2364</v>
      </c>
      <c r="L721" t="s">
        <v>1392</v>
      </c>
      <c r="M721" t="s">
        <v>1407</v>
      </c>
      <c r="N721" t="s">
        <v>1425</v>
      </c>
      <c r="O721" t="s">
        <v>1427</v>
      </c>
      <c r="P721" t="s">
        <v>1429</v>
      </c>
      <c r="Q721">
        <v>44</v>
      </c>
      <c r="R721" s="2">
        <v>8457780322389</v>
      </c>
      <c r="S721" s="3" t="s">
        <v>1306</v>
      </c>
      <c r="T721" t="s">
        <v>1342</v>
      </c>
      <c r="U721" t="s">
        <v>1343</v>
      </c>
    </row>
    <row r="722" spans="1:21" x14ac:dyDescent="0.25">
      <c r="A722" t="s">
        <v>667</v>
      </c>
      <c r="B722" t="s">
        <v>2267</v>
      </c>
      <c r="C722" t="s">
        <v>678</v>
      </c>
      <c r="D722" t="s">
        <v>2000</v>
      </c>
      <c r="E722" t="str">
        <f>+CONCATENATE(D722,". FABRICADO EN ",M722,". PUNTERA DE ",N722,". PLANTILLA ",O722,". SUELA DE ",P722)</f>
        <v>ZAPATO S2+CI+FO+SR Negro 45. FABRICADO EN MICROFIBRA. PUNTERA DE Fibra de vidrio. PLANTILLA No lleva. SUELA DE PU/PU DOBLE DENSIDAD</v>
      </c>
      <c r="F722" t="str">
        <f>PROPER(E722)</f>
        <v>Zapato S2+Ci+Fo+Sr Negro 45. Fabricado En Microfibra. Puntera De Fibra De Vidrio. Plantilla No Lleva. Suela De Pu/Pu Doble Densidad</v>
      </c>
      <c r="G722" s="24">
        <v>17.95</v>
      </c>
      <c r="H722" s="24">
        <f>+G722/0.7</f>
        <v>25.642857142857142</v>
      </c>
      <c r="I722" s="24">
        <f>+H722*1.21</f>
        <v>31.02785714285714</v>
      </c>
      <c r="J722" s="24" t="s">
        <v>2359</v>
      </c>
      <c r="K722" s="24" t="s">
        <v>2364</v>
      </c>
      <c r="L722" t="s">
        <v>1392</v>
      </c>
      <c r="M722" t="s">
        <v>1407</v>
      </c>
      <c r="N722" t="s">
        <v>1425</v>
      </c>
      <c r="O722" t="s">
        <v>1427</v>
      </c>
      <c r="P722" t="s">
        <v>1429</v>
      </c>
      <c r="Q722">
        <v>45</v>
      </c>
      <c r="R722" s="2">
        <v>8457780322396</v>
      </c>
      <c r="S722" s="3" t="s">
        <v>1307</v>
      </c>
      <c r="T722" t="s">
        <v>1342</v>
      </c>
      <c r="U722" t="s">
        <v>1343</v>
      </c>
    </row>
    <row r="723" spans="1:21" x14ac:dyDescent="0.25">
      <c r="A723" t="s">
        <v>667</v>
      </c>
      <c r="B723" t="s">
        <v>2267</v>
      </c>
      <c r="C723" t="s">
        <v>679</v>
      </c>
      <c r="D723" t="s">
        <v>2001</v>
      </c>
      <c r="E723" t="str">
        <f>+CONCATENATE(D723,". FABRICADO EN ",M723,". PUNTERA DE ",N723,". PLANTILLA ",O723,". SUELA DE ",P723)</f>
        <v>ZAPATO S2+CI+FO+SR Negro 46. FABRICADO EN MICROFIBRA. PUNTERA DE Fibra de vidrio. PLANTILLA No lleva. SUELA DE PU/PU DOBLE DENSIDAD</v>
      </c>
      <c r="F723" t="str">
        <f>PROPER(E723)</f>
        <v>Zapato S2+Ci+Fo+Sr Negro 46. Fabricado En Microfibra. Puntera De Fibra De Vidrio. Plantilla No Lleva. Suela De Pu/Pu Doble Densidad</v>
      </c>
      <c r="G723" s="24">
        <v>17.95</v>
      </c>
      <c r="H723" s="24">
        <f>+G723/0.7</f>
        <v>25.642857142857142</v>
      </c>
      <c r="I723" s="24">
        <f>+H723*1.21</f>
        <v>31.02785714285714</v>
      </c>
      <c r="J723" s="24" t="s">
        <v>2359</v>
      </c>
      <c r="K723" s="24" t="s">
        <v>2364</v>
      </c>
      <c r="L723" t="s">
        <v>1392</v>
      </c>
      <c r="M723" t="s">
        <v>1407</v>
      </c>
      <c r="N723" t="s">
        <v>1425</v>
      </c>
      <c r="O723" t="s">
        <v>1427</v>
      </c>
      <c r="P723" t="s">
        <v>1429</v>
      </c>
      <c r="Q723">
        <v>46</v>
      </c>
      <c r="R723" s="2">
        <v>8457780322402</v>
      </c>
      <c r="S723" s="3" t="s">
        <v>1308</v>
      </c>
      <c r="T723" t="s">
        <v>1342</v>
      </c>
      <c r="U723" t="s">
        <v>1343</v>
      </c>
    </row>
    <row r="724" spans="1:21" x14ac:dyDescent="0.25">
      <c r="A724" t="s">
        <v>667</v>
      </c>
      <c r="B724" t="s">
        <v>2267</v>
      </c>
      <c r="C724" t="s">
        <v>680</v>
      </c>
      <c r="D724" t="s">
        <v>2002</v>
      </c>
      <c r="E724" t="str">
        <f>+CONCATENATE(D724,". FABRICADO EN ",M724,". PUNTERA DE ",N724,". PLANTILLA ",O724,". SUELA DE ",P724)</f>
        <v>ZAPATO S2+CI+FO+SR Negro 47. FABRICADO EN MICROFIBRA. PUNTERA DE Fibra de vidrio. PLANTILLA No lleva. SUELA DE PU/PU DOBLE DENSIDAD</v>
      </c>
      <c r="F724" t="str">
        <f>PROPER(E724)</f>
        <v>Zapato S2+Ci+Fo+Sr Negro 47. Fabricado En Microfibra. Puntera De Fibra De Vidrio. Plantilla No Lleva. Suela De Pu/Pu Doble Densidad</v>
      </c>
      <c r="G724" s="24">
        <v>17.95</v>
      </c>
      <c r="H724" s="24">
        <f>+G724/0.7</f>
        <v>25.642857142857142</v>
      </c>
      <c r="I724" s="24">
        <f>+H724*1.21</f>
        <v>31.02785714285714</v>
      </c>
      <c r="J724" s="24" t="s">
        <v>2359</v>
      </c>
      <c r="K724" s="24" t="s">
        <v>2364</v>
      </c>
      <c r="L724" t="s">
        <v>1392</v>
      </c>
      <c r="M724" t="s">
        <v>1407</v>
      </c>
      <c r="N724" t="s">
        <v>1425</v>
      </c>
      <c r="O724" t="s">
        <v>1427</v>
      </c>
      <c r="P724" t="s">
        <v>1429</v>
      </c>
      <c r="Q724">
        <v>47</v>
      </c>
      <c r="R724" s="2">
        <v>8457780322419</v>
      </c>
      <c r="S724" s="3" t="s">
        <v>1309</v>
      </c>
      <c r="T724" t="s">
        <v>1342</v>
      </c>
      <c r="U724" t="s">
        <v>1343</v>
      </c>
    </row>
    <row r="725" spans="1:21" x14ac:dyDescent="0.25">
      <c r="A725" t="s">
        <v>667</v>
      </c>
      <c r="B725" t="s">
        <v>2267</v>
      </c>
      <c r="C725" t="s">
        <v>681</v>
      </c>
      <c r="D725" t="s">
        <v>2003</v>
      </c>
      <c r="E725" t="str">
        <f>+CONCATENATE(D725,". FABRICADO EN ",M725,". PUNTERA DE ",N725,". PLANTILLA ",O725,". SUELA DE ",P725)</f>
        <v>ZAPATO S2+CI+FO+SR Negro 48. FABRICADO EN MICROFIBRA. PUNTERA DE Fibra de vidrio. PLANTILLA No lleva. SUELA DE PU/PU DOBLE DENSIDAD</v>
      </c>
      <c r="F725" t="str">
        <f>PROPER(E725)</f>
        <v>Zapato S2+Ci+Fo+Sr Negro 48. Fabricado En Microfibra. Puntera De Fibra De Vidrio. Plantilla No Lleva. Suela De Pu/Pu Doble Densidad</v>
      </c>
      <c r="G725" s="24">
        <v>17.95</v>
      </c>
      <c r="H725" s="24">
        <f>+G725/0.7</f>
        <v>25.642857142857142</v>
      </c>
      <c r="I725" s="24">
        <f>+H725*1.21</f>
        <v>31.02785714285714</v>
      </c>
      <c r="J725" s="24" t="s">
        <v>2359</v>
      </c>
      <c r="K725" s="24" t="s">
        <v>2364</v>
      </c>
      <c r="L725" t="s">
        <v>1392</v>
      </c>
      <c r="M725" t="s">
        <v>1407</v>
      </c>
      <c r="N725" t="s">
        <v>1425</v>
      </c>
      <c r="O725" t="s">
        <v>1427</v>
      </c>
      <c r="P725" t="s">
        <v>1429</v>
      </c>
      <c r="Q725">
        <v>48</v>
      </c>
      <c r="R725" s="2">
        <v>8457780322426</v>
      </c>
      <c r="S725" s="3" t="s">
        <v>1310</v>
      </c>
      <c r="T725" t="s">
        <v>1342</v>
      </c>
      <c r="U725" t="s">
        <v>1343</v>
      </c>
    </row>
  </sheetData>
  <autoFilter ref="A1:U725" xr:uid="{1480A8CE-B3F1-4ECA-833B-5DA099E4385D}">
    <sortState xmlns:xlrd2="http://schemas.microsoft.com/office/spreadsheetml/2017/richdata2" ref="A2:U725">
      <sortCondition ref="B1:B725"/>
    </sortState>
  </autoFilter>
  <phoneticPr fontId="1" type="noConversion"/>
  <hyperlinks>
    <hyperlink ref="T2" r:id="rId1" location="/27-talla-35/42-color-negro_black" xr:uid="{37140449-4AF1-4FAB-BAE3-0DE57306AF96}"/>
    <hyperlink ref="T3" r:id="rId2" location="/27-talla-35/42-color-negro_black" xr:uid="{E52EE736-2C51-4938-B73A-FD35ABD76D81}"/>
    <hyperlink ref="T4" r:id="rId3" location="/27-talla-35/42-color-negro_black" xr:uid="{0699E035-255E-4BA3-849C-E37BED05D6A9}"/>
    <hyperlink ref="T5" r:id="rId4" location="/27-talla-35/42-color-negro_black" xr:uid="{826DA35D-E39F-4212-B413-8429896EEBD3}"/>
    <hyperlink ref="T6" r:id="rId5" location="/27-talla-35/42-color-negro_black" xr:uid="{96840F39-6729-47D2-932D-40E949E4EC19}"/>
    <hyperlink ref="T7" r:id="rId6" location="/27-talla-35/42-color-negro_black" xr:uid="{59623C4D-E52B-4D50-976F-E8B21A0B8A04}"/>
    <hyperlink ref="T8" r:id="rId7" location="/27-talla-35/42-color-negro_black" xr:uid="{AFA0CA02-4BF3-4B68-B957-6DCBF752F51C}"/>
    <hyperlink ref="T9" r:id="rId8" location="/27-talla-35/42-color-negro_black" xr:uid="{CFC05856-2EE4-453F-BC76-38162BA387C6}"/>
    <hyperlink ref="T10" r:id="rId9" location="/27-talla-35/42-color-negro_black" xr:uid="{82E86878-D3C1-4297-A5FC-422F9CAC4065}"/>
    <hyperlink ref="T11" r:id="rId10" location="/27-talla-35/42-color-negro_black" xr:uid="{EB111727-CA6D-4FEF-B5B4-98F0EEE70329}"/>
    <hyperlink ref="T12" r:id="rId11" location="/27-talla-35/42-color-negro_black" xr:uid="{F97D08F0-09F3-4B45-A8AF-826515699D4F}"/>
    <hyperlink ref="T13" r:id="rId12" location="/27-talla-35/42-color-negro_black" xr:uid="{A1D45925-09E5-405E-A229-7D9AD675B259}"/>
    <hyperlink ref="T14" r:id="rId13" location="/27-talla-35/42-color-negro_black" xr:uid="{ECB8084E-886A-44CC-B0BA-ED24E1F62A1F}"/>
    <hyperlink ref="T15" r:id="rId14" location="/27-talla-35/42-color-negro_black" xr:uid="{B98CDCA9-B6F9-4C3D-B467-38CC119B902A}"/>
    <hyperlink ref="U366" r:id="rId15" xr:uid="{AB6421C1-F24D-45AF-B250-7FB4BA9D1E22}"/>
    <hyperlink ref="U367" r:id="rId16" xr:uid="{BF76A517-C297-4A1F-82FF-CBA707D2576C}"/>
    <hyperlink ref="U368" r:id="rId17" xr:uid="{DE736A69-D0F1-4D03-B4A8-A4E55440CC76}"/>
    <hyperlink ref="U369" r:id="rId18" xr:uid="{5A630626-BBAB-4DF5-9665-616AFA663435}"/>
    <hyperlink ref="U370" r:id="rId19" xr:uid="{16C9C0C3-8862-42B4-8FE9-3A22723116E0}"/>
    <hyperlink ref="U371" r:id="rId20" xr:uid="{9939C39A-EA27-497E-9641-47841C745EF6}"/>
    <hyperlink ref="U372" r:id="rId21" xr:uid="{CACD1EB9-869B-4337-8631-122053D57525}"/>
    <hyperlink ref="U373" r:id="rId22" xr:uid="{62FA5165-1B22-438D-B493-80733E35DD40}"/>
    <hyperlink ref="U374" r:id="rId23" xr:uid="{974F6551-208C-4B77-A3A0-DAB9E55855FC}"/>
    <hyperlink ref="U375" r:id="rId24" xr:uid="{22805F94-DAF1-4DF4-A8F4-8B5ED0785198}"/>
    <hyperlink ref="U376" r:id="rId25" xr:uid="{D1FE515F-A4F2-41B0-A122-697D9CF3F563}"/>
    <hyperlink ref="U377" r:id="rId26" xr:uid="{D7CAA3BC-EA8C-479F-90E0-618453B30CA3}"/>
    <hyperlink ref="U378" r:id="rId27" xr:uid="{418C614B-AA9B-49A0-89FD-F7D591704DAB}"/>
    <hyperlink ref="U379" r:id="rId28" xr:uid="{8D0FC343-0BFA-4F64-B1A6-79968E85AEAE}"/>
    <hyperlink ref="T642" r:id="rId29" location="/27-talla-35/41-color-gris" xr:uid="{0D3AD8DF-3FFC-4D8B-9919-208AAC7DBD8E}"/>
    <hyperlink ref="T643:T655" r:id="rId30" location="/27-talla-35/41-color-gris" display="https://forli.es/evolution/373-11054-TEXAS.html#/27-talla-35/41-color-gris" xr:uid="{56AECA7E-8046-44EB-A7EB-8B560C6BC35D}"/>
    <hyperlink ref="T73" r:id="rId31" location="/27-talla-35/42-color-negro_black" xr:uid="{422A9532-ADDA-448F-8FE6-6A4B619168E4}"/>
    <hyperlink ref="U73" r:id="rId32" xr:uid="{F95A59B0-FAFC-4ABE-8CE6-6865F664B4AC}"/>
    <hyperlink ref="T74" r:id="rId33" location="/27-talla-35/42-color-negro_black" xr:uid="{5599755A-831C-401A-8380-FB06CE5934CE}"/>
    <hyperlink ref="T75" r:id="rId34" location="/27-talla-35/42-color-negro_black" xr:uid="{A5A184E8-D02D-4B4A-8DC0-C70E85329BF2}"/>
    <hyperlink ref="T76" r:id="rId35" location="/27-talla-35/42-color-negro_black" xr:uid="{C89E8FB1-A787-4F42-9E88-E3711BBADF3E}"/>
    <hyperlink ref="T77" r:id="rId36" location="/27-talla-35/42-color-negro_black" xr:uid="{D066A17B-FE5B-450C-A462-2AD8BCB2FADD}"/>
    <hyperlink ref="T78" r:id="rId37" location="/27-talla-35/42-color-negro_black" xr:uid="{A8D9EFBE-BC10-4B57-B5FF-624CC6266384}"/>
    <hyperlink ref="T79" r:id="rId38" location="/27-talla-35/42-color-negro_black" xr:uid="{0F713588-68F1-4FD1-81AC-69A8C549A248}"/>
    <hyperlink ref="T80" r:id="rId39" location="/27-talla-35/42-color-negro_black" xr:uid="{FBFB020D-673F-47DB-9E0B-AD8B8ACC54E1}"/>
    <hyperlink ref="T81" r:id="rId40" location="/27-talla-35/42-color-negro_black" xr:uid="{25E6D762-F2A6-4D82-8F8A-428E94E44BBA}"/>
    <hyperlink ref="T82" r:id="rId41" location="/27-talla-35/42-color-negro_black" xr:uid="{E2A17491-BA83-483C-8AD9-5740914DEB3F}"/>
    <hyperlink ref="T83" r:id="rId42" location="/27-talla-35/42-color-negro_black" xr:uid="{5D925B20-42B0-4F61-BF87-00EE434F69F6}"/>
    <hyperlink ref="T84" r:id="rId43" location="/27-talla-35/42-color-negro_black" xr:uid="{B33FFF65-6D61-4A9C-BE25-655493B4999C}"/>
    <hyperlink ref="T85" r:id="rId44" location="/27-talla-35/42-color-negro_black" xr:uid="{CD244BDF-C137-4BCF-9DB5-99901F8D66DD}"/>
    <hyperlink ref="T86" r:id="rId45" location="/27-talla-35/42-color-negro_black" xr:uid="{4A1DC7DB-EB6C-43B9-87FD-A2B565016EA0}"/>
    <hyperlink ref="U74" r:id="rId46" xr:uid="{4B9A4723-032B-4F1B-B730-AAEE025934B8}"/>
    <hyperlink ref="U75" r:id="rId47" xr:uid="{5F0E7D7D-8772-4999-B4A8-1F3B5A57E100}"/>
    <hyperlink ref="U76" r:id="rId48" xr:uid="{5FE2CFED-35FF-4AE4-A344-E01ABA04F742}"/>
    <hyperlink ref="U77" r:id="rId49" xr:uid="{A105C11C-93A6-44A0-B937-037A3CE0AE1D}"/>
    <hyperlink ref="U78" r:id="rId50" xr:uid="{314D360C-687D-4D8A-B04E-C4117C24D5C8}"/>
    <hyperlink ref="U79" r:id="rId51" xr:uid="{7633C5C9-CB32-4490-A55F-03BC25FCAF5C}"/>
    <hyperlink ref="U80" r:id="rId52" xr:uid="{05575B6E-7798-4392-B7CD-8177DBAAE2CE}"/>
    <hyperlink ref="U81" r:id="rId53" xr:uid="{04E62684-ABC2-4C58-BE38-8BFDD9A3E568}"/>
    <hyperlink ref="U82" r:id="rId54" xr:uid="{C34AD91C-28B6-4B0C-9A60-92FBA3C43068}"/>
    <hyperlink ref="U83" r:id="rId55" xr:uid="{57D7D848-CD9F-4024-80F3-53456C8F4C6D}"/>
    <hyperlink ref="U84" r:id="rId56" xr:uid="{06D67B18-F9EC-4A68-A474-5201E0D2AD3E}"/>
    <hyperlink ref="U85" r:id="rId57" xr:uid="{ED8E1C94-A883-4510-AC4B-0A0F6910E776}"/>
    <hyperlink ref="U86" r:id="rId58" xr:uid="{9E20E3A0-996D-4D5C-AA61-3C81F33BFAA2}"/>
    <hyperlink ref="T276" r:id="rId59" location="/28-talla-36/42-color-negro_black" xr:uid="{7EDC9480-B612-430E-A3C2-F2BE1BEB40EA}"/>
    <hyperlink ref="T277" r:id="rId60" location="/28-talla-36/42-color-negro_black" xr:uid="{FD904CA8-1334-4C84-8DD6-CB5023D2B256}"/>
    <hyperlink ref="T278" r:id="rId61" location="/28-talla-36/42-color-negro_black" xr:uid="{724260F3-35D1-4D23-AFB7-C8F6C0637F81}"/>
    <hyperlink ref="T279" r:id="rId62" location="/28-talla-36/42-color-negro_black" xr:uid="{DB9B7ECF-69F2-4A17-A16F-0DAF56BAB505}"/>
    <hyperlink ref="T280" r:id="rId63" location="/28-talla-36/42-color-negro_black" xr:uid="{58FFF07F-0009-4715-B09B-E943ED79A7A6}"/>
    <hyperlink ref="T281" r:id="rId64" location="/28-talla-36/42-color-negro_black" xr:uid="{AC9BD466-7145-44B6-A808-3AB6A91850EE}"/>
    <hyperlink ref="T282" r:id="rId65" location="/28-talla-36/42-color-negro_black" xr:uid="{75CBAEF9-0D86-4214-9438-FA4D4E81B093}"/>
    <hyperlink ref="T283" r:id="rId66" location="/28-talla-36/42-color-negro_black" xr:uid="{56AFC3EF-767E-4C00-BAD7-DA908D00A1C6}"/>
    <hyperlink ref="T284" r:id="rId67" location="/28-talla-36/42-color-negro_black" xr:uid="{2BC756F0-1A07-4047-8507-11E02610283A}"/>
    <hyperlink ref="T285" r:id="rId68" location="/28-talla-36/42-color-negro_black" xr:uid="{B59331D3-1C05-4D02-A569-1561D4DBFB5B}"/>
    <hyperlink ref="T286" r:id="rId69" location="/28-talla-36/42-color-negro_black" xr:uid="{E7BA34C0-0512-4E08-8589-3ABEBF6B3EF4}"/>
    <hyperlink ref="T287" r:id="rId70" location="/28-talla-36/42-color-negro_black" xr:uid="{E6EA274C-B70D-435B-B73D-2AE279868674}"/>
    <hyperlink ref="T302" r:id="rId71" location="/27-talla-35/42-color-negro_black" xr:uid="{DF4E904C-6B76-4FB9-8C64-206BF74ADAEB}"/>
    <hyperlink ref="T303" r:id="rId72" location="/27-talla-35/42-color-negro_black" xr:uid="{AFC83F4B-A36A-449E-AFC5-C0E22997C80D}"/>
    <hyperlink ref="T304" r:id="rId73" location="/27-talla-35/42-color-negro_black" xr:uid="{5ACEE3D2-28E1-4687-A35B-750A0519EAC5}"/>
    <hyperlink ref="T305" r:id="rId74" location="/27-talla-35/42-color-negro_black" xr:uid="{F46438EF-FCBE-4699-8B1F-F37EBAAD19A4}"/>
    <hyperlink ref="T306" r:id="rId75" location="/27-talla-35/42-color-negro_black" xr:uid="{870DAF34-6EA1-47AF-B98B-8A07FFE2FF8E}"/>
    <hyperlink ref="T307" r:id="rId76" location="/27-talla-35/42-color-negro_black" xr:uid="{A9422243-9220-4347-92FB-C34CA88D3089}"/>
    <hyperlink ref="T308" r:id="rId77" location="/27-talla-35/42-color-negro_black" xr:uid="{2192A03E-79CD-4997-9B56-ADAFF23E05F3}"/>
    <hyperlink ref="T309" r:id="rId78" location="/27-talla-35/42-color-negro_black" xr:uid="{07F96AC3-F406-48FF-9546-B03E8F85B7DA}"/>
    <hyperlink ref="T310" r:id="rId79" location="/27-talla-35/42-color-negro_black" xr:uid="{D239FB58-F680-4B87-BA38-03FADDBA54C0}"/>
    <hyperlink ref="T311" r:id="rId80" location="/27-talla-35/42-color-negro_black" xr:uid="{DD321073-760A-472B-A20D-74E5C9BBF3C1}"/>
    <hyperlink ref="T312" r:id="rId81" location="/27-talla-35/42-color-negro_black" xr:uid="{6CC9085A-6B2F-4909-9235-21C8FCB72216}"/>
    <hyperlink ref="T313" r:id="rId82" location="/27-talla-35/42-color-negro_black" xr:uid="{E429102C-9F86-43BB-9124-CC0F835171A1}"/>
    <hyperlink ref="T314" r:id="rId83" location="/27-talla-35/42-color-negro_black" xr:uid="{4D86070C-FD46-4A44-B2B6-E4745DC31A11}"/>
    <hyperlink ref="T315" r:id="rId84" location="/27-talla-35/42-color-negro_black" xr:uid="{D58ADAD4-49F3-4671-A761-BFDA72A0D180}"/>
    <hyperlink ref="T246" r:id="rId85" location="/27-talla-35/48-color-blanco" xr:uid="{6BE07AAA-9E23-4BBE-9226-A5CB42CE16E5}"/>
    <hyperlink ref="T247:T259" r:id="rId86" location="/27-talla-35/48-color-blanco" display="https://forli.es/neo-sanitario/374-11068-DELTA.html#/27-talla-35/48-color-blanco" xr:uid="{A58E1E18-35E4-41B6-A444-14EDEE1B9BB8}"/>
    <hyperlink ref="T205" r:id="rId87" xr:uid="{C4F1D457-98FC-4AA3-8265-C2FFC4D616B2}"/>
    <hyperlink ref="T206:T217" r:id="rId88" display="https://forli.es/inicio/386-cleveland-s5-ci-src.html" xr:uid="{59455059-45E3-4D78-BCD8-C0B01D1BB46F}"/>
    <hyperlink ref="T16:T17" r:id="rId89" location="/27-talla-35/42-color-negro_black" display="https://forli.es/calzado-de-seguridad-ocupacional/265-2131-ALASKA.html#/27-talla-35/42-color-negro_black" xr:uid="{44C78A3E-DE61-48F0-89AE-1FE3C05E6859}"/>
    <hyperlink ref="T592" r:id="rId90" location="/27-talla-35/42-color-negro_black" xr:uid="{7D9FD8A7-3713-4BEF-A321-BC0DEF4C99B6}"/>
    <hyperlink ref="T554" r:id="rId91" location="/42-color-negro_black/51-talla-35_38" xr:uid="{363FE200-2621-4A2F-8B9B-75BD2B7F07DA}"/>
  </hyperlinks>
  <pageMargins left="0.7" right="0.7" top="0.75" bottom="0.75" header="0.3" footer="0.3"/>
  <pageSetup paperSize="9" orientation="portrait" verticalDpi="0" r:id="rId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0B14-CD13-4BFC-9BD7-FA672393F3D4}">
  <dimension ref="B5:C56"/>
  <sheetViews>
    <sheetView workbookViewId="0">
      <selection activeCell="E42" sqref="E42"/>
    </sheetView>
  </sheetViews>
  <sheetFormatPr baseColWidth="10" defaultRowHeight="15" x14ac:dyDescent="0.25"/>
  <sheetData>
    <row r="5" spans="2:3" x14ac:dyDescent="0.25">
      <c r="B5" s="20" t="s">
        <v>2271</v>
      </c>
      <c r="C5" s="21" t="s">
        <v>2322</v>
      </c>
    </row>
    <row r="6" spans="2:3" ht="19.5" x14ac:dyDescent="0.25">
      <c r="B6" s="6" t="s">
        <v>2272</v>
      </c>
      <c r="C6" s="13">
        <v>38.9</v>
      </c>
    </row>
    <row r="7" spans="2:3" ht="19.5" x14ac:dyDescent="0.25">
      <c r="B7" s="7" t="s">
        <v>2273</v>
      </c>
      <c r="C7" s="14">
        <v>38.9</v>
      </c>
    </row>
    <row r="8" spans="2:3" x14ac:dyDescent="0.25">
      <c r="B8" s="7" t="s">
        <v>2274</v>
      </c>
      <c r="C8" s="14">
        <v>40.9</v>
      </c>
    </row>
    <row r="9" spans="2:3" x14ac:dyDescent="0.25">
      <c r="B9" s="7" t="s">
        <v>2275</v>
      </c>
      <c r="C9" s="14">
        <v>39.9</v>
      </c>
    </row>
    <row r="10" spans="2:3" x14ac:dyDescent="0.25">
      <c r="B10" s="8" t="s">
        <v>2276</v>
      </c>
      <c r="C10" s="15">
        <v>35.9</v>
      </c>
    </row>
    <row r="11" spans="2:3" x14ac:dyDescent="0.25">
      <c r="B11" s="9" t="s">
        <v>2277</v>
      </c>
      <c r="C11" s="16">
        <v>36.9</v>
      </c>
    </row>
    <row r="12" spans="2:3" x14ac:dyDescent="0.25">
      <c r="B12" s="9" t="s">
        <v>2278</v>
      </c>
      <c r="C12" s="16">
        <v>35.5</v>
      </c>
    </row>
    <row r="13" spans="2:3" x14ac:dyDescent="0.25">
      <c r="B13" s="8" t="s">
        <v>2279</v>
      </c>
      <c r="C13" s="17">
        <v>24.56</v>
      </c>
    </row>
    <row r="14" spans="2:3" x14ac:dyDescent="0.25">
      <c r="B14" s="9" t="s">
        <v>2280</v>
      </c>
      <c r="C14" s="16">
        <v>24.56</v>
      </c>
    </row>
    <row r="15" spans="2:3" x14ac:dyDescent="0.25">
      <c r="B15" s="9" t="s">
        <v>2281</v>
      </c>
      <c r="C15" s="18">
        <v>26</v>
      </c>
    </row>
    <row r="16" spans="2:3" x14ac:dyDescent="0.25">
      <c r="B16" s="9" t="s">
        <v>2282</v>
      </c>
      <c r="C16" s="18">
        <v>24.56</v>
      </c>
    </row>
    <row r="17" spans="2:3" x14ac:dyDescent="0.25">
      <c r="B17" s="9" t="s">
        <v>2283</v>
      </c>
      <c r="C17" s="18">
        <v>23.3</v>
      </c>
    </row>
    <row r="18" spans="2:3" ht="19.5" x14ac:dyDescent="0.25">
      <c r="B18" s="10" t="s">
        <v>2284</v>
      </c>
      <c r="C18" s="19">
        <v>23.3</v>
      </c>
    </row>
    <row r="19" spans="2:3" ht="19.5" x14ac:dyDescent="0.25">
      <c r="B19" s="9" t="s">
        <v>2285</v>
      </c>
      <c r="C19" s="19">
        <v>23.3</v>
      </c>
    </row>
    <row r="20" spans="2:3" x14ac:dyDescent="0.25">
      <c r="B20" s="8" t="s">
        <v>2286</v>
      </c>
      <c r="C20" s="15">
        <v>39.9</v>
      </c>
    </row>
    <row r="21" spans="2:3" x14ac:dyDescent="0.25">
      <c r="B21" s="9" t="s">
        <v>2287</v>
      </c>
      <c r="C21" s="16">
        <v>39</v>
      </c>
    </row>
    <row r="22" spans="2:3" x14ac:dyDescent="0.25">
      <c r="B22" s="8" t="s">
        <v>2288</v>
      </c>
      <c r="C22" s="15">
        <v>22</v>
      </c>
    </row>
    <row r="23" spans="2:3" x14ac:dyDescent="0.25">
      <c r="B23" s="9" t="s">
        <v>2289</v>
      </c>
      <c r="C23" s="16">
        <v>29.56</v>
      </c>
    </row>
    <row r="24" spans="2:3" x14ac:dyDescent="0.25">
      <c r="B24" s="9" t="s">
        <v>2290</v>
      </c>
      <c r="C24" s="16">
        <v>29.56</v>
      </c>
    </row>
    <row r="25" spans="2:3" x14ac:dyDescent="0.25">
      <c r="B25" s="9" t="s">
        <v>2291</v>
      </c>
      <c r="C25" s="16">
        <v>26.5</v>
      </c>
    </row>
    <row r="26" spans="2:3" x14ac:dyDescent="0.25">
      <c r="B26" s="9" t="s">
        <v>2292</v>
      </c>
      <c r="C26" s="16">
        <v>26.5</v>
      </c>
    </row>
    <row r="27" spans="2:3" x14ac:dyDescent="0.25">
      <c r="B27" s="8" t="s">
        <v>2293</v>
      </c>
      <c r="C27" s="15">
        <v>27.9</v>
      </c>
    </row>
    <row r="28" spans="2:3" x14ac:dyDescent="0.25">
      <c r="B28" s="9" t="s">
        <v>2294</v>
      </c>
      <c r="C28" s="16">
        <v>24.9</v>
      </c>
    </row>
    <row r="29" spans="2:3" x14ac:dyDescent="0.25">
      <c r="B29" s="9" t="s">
        <v>2295</v>
      </c>
      <c r="C29" s="18">
        <v>24.5</v>
      </c>
    </row>
    <row r="30" spans="2:3" x14ac:dyDescent="0.25">
      <c r="B30" s="9" t="s">
        <v>2296</v>
      </c>
      <c r="C30" s="19">
        <v>26</v>
      </c>
    </row>
    <row r="31" spans="2:3" x14ac:dyDescent="0.25">
      <c r="B31" s="11" t="s">
        <v>2297</v>
      </c>
      <c r="C31" s="13">
        <v>33.9</v>
      </c>
    </row>
    <row r="32" spans="2:3" x14ac:dyDescent="0.25">
      <c r="B32" s="7" t="s">
        <v>2298</v>
      </c>
      <c r="C32" s="14">
        <v>39.200000000000003</v>
      </c>
    </row>
    <row r="33" spans="2:3" x14ac:dyDescent="0.25">
      <c r="B33" s="7" t="s">
        <v>2299</v>
      </c>
      <c r="C33" s="14">
        <v>42</v>
      </c>
    </row>
    <row r="34" spans="2:3" x14ac:dyDescent="0.25">
      <c r="B34" s="8" t="s">
        <v>2300</v>
      </c>
      <c r="C34" s="15">
        <v>13.25</v>
      </c>
    </row>
    <row r="35" spans="2:3" x14ac:dyDescent="0.25">
      <c r="B35" s="9" t="s">
        <v>2301</v>
      </c>
      <c r="C35" s="16">
        <v>13.9</v>
      </c>
    </row>
    <row r="36" spans="2:3" x14ac:dyDescent="0.25">
      <c r="B36" s="9" t="s">
        <v>2302</v>
      </c>
      <c r="C36" s="16">
        <v>16.95</v>
      </c>
    </row>
    <row r="37" spans="2:3" x14ac:dyDescent="0.25">
      <c r="B37" s="9" t="s">
        <v>2303</v>
      </c>
      <c r="C37" s="16">
        <v>17.95</v>
      </c>
    </row>
    <row r="38" spans="2:3" x14ac:dyDescent="0.25">
      <c r="B38" s="9" t="s">
        <v>2304</v>
      </c>
      <c r="C38" s="16">
        <v>17.95</v>
      </c>
    </row>
    <row r="39" spans="2:3" x14ac:dyDescent="0.25">
      <c r="B39" s="9" t="s">
        <v>2305</v>
      </c>
      <c r="C39" s="16">
        <v>18.95</v>
      </c>
    </row>
    <row r="40" spans="2:3" x14ac:dyDescent="0.25">
      <c r="B40" s="7" t="s">
        <v>2305</v>
      </c>
      <c r="C40" s="14">
        <v>18.95</v>
      </c>
    </row>
    <row r="41" spans="2:3" x14ac:dyDescent="0.25">
      <c r="B41" s="8" t="s">
        <v>2306</v>
      </c>
      <c r="C41" s="15">
        <v>24.57</v>
      </c>
    </row>
    <row r="42" spans="2:3" x14ac:dyDescent="0.25">
      <c r="B42" s="12" t="s">
        <v>2307</v>
      </c>
      <c r="C42" s="14">
        <v>22.5</v>
      </c>
    </row>
    <row r="43" spans="2:3" x14ac:dyDescent="0.25">
      <c r="B43" s="9" t="s">
        <v>2308</v>
      </c>
      <c r="C43" s="16">
        <v>21.8</v>
      </c>
    </row>
    <row r="44" spans="2:3" x14ac:dyDescent="0.25">
      <c r="B44" s="9" t="s">
        <v>2309</v>
      </c>
      <c r="C44" s="16">
        <v>19</v>
      </c>
    </row>
    <row r="45" spans="2:3" x14ac:dyDescent="0.25">
      <c r="B45" s="9" t="s">
        <v>2310</v>
      </c>
      <c r="C45" s="16">
        <v>19.899999999999999</v>
      </c>
    </row>
    <row r="46" spans="2:3" x14ac:dyDescent="0.25">
      <c r="B46" s="11" t="s">
        <v>2311</v>
      </c>
      <c r="C46" s="13">
        <v>25.6</v>
      </c>
    </row>
    <row r="47" spans="2:3" x14ac:dyDescent="0.25">
      <c r="B47" s="7" t="s">
        <v>2312</v>
      </c>
      <c r="C47" s="14">
        <v>26.6</v>
      </c>
    </row>
    <row r="48" spans="2:3" x14ac:dyDescent="0.25">
      <c r="B48" s="11" t="s">
        <v>2313</v>
      </c>
      <c r="C48" s="13">
        <v>9.9</v>
      </c>
    </row>
    <row r="49" spans="2:3" x14ac:dyDescent="0.25">
      <c r="B49" s="7" t="s">
        <v>2314</v>
      </c>
      <c r="C49" s="14">
        <v>9.9</v>
      </c>
    </row>
    <row r="50" spans="2:3" x14ac:dyDescent="0.25">
      <c r="B50" s="7" t="s">
        <v>2315</v>
      </c>
      <c r="C50" s="14">
        <v>10.9</v>
      </c>
    </row>
    <row r="51" spans="2:3" x14ac:dyDescent="0.25">
      <c r="B51" s="7" t="s">
        <v>2316</v>
      </c>
      <c r="C51" s="14">
        <v>10.9</v>
      </c>
    </row>
    <row r="52" spans="2:3" x14ac:dyDescent="0.25">
      <c r="B52" s="7" t="s">
        <v>2317</v>
      </c>
      <c r="C52" s="14">
        <v>11.9</v>
      </c>
    </row>
    <row r="53" spans="2:3" x14ac:dyDescent="0.25">
      <c r="B53" s="8" t="s">
        <v>2318</v>
      </c>
      <c r="C53" s="15">
        <v>14.2</v>
      </c>
    </row>
    <row r="54" spans="2:3" x14ac:dyDescent="0.25">
      <c r="B54" s="9" t="s">
        <v>2319</v>
      </c>
      <c r="C54" s="16">
        <v>14.2</v>
      </c>
    </row>
    <row r="55" spans="2:3" x14ac:dyDescent="0.25">
      <c r="B55" s="9" t="s">
        <v>2320</v>
      </c>
      <c r="C55" s="16">
        <v>15.5</v>
      </c>
    </row>
    <row r="56" spans="2:3" x14ac:dyDescent="0.25">
      <c r="B56" s="22" t="s">
        <v>2321</v>
      </c>
      <c r="C56" s="23">
        <v>14.9</v>
      </c>
    </row>
  </sheetData>
  <hyperlinks>
    <hyperlink ref="B6" r:id="rId1" display="https://forli.es/evolution/340-10327-HOUSTONAM.html%23/26-talla-34/42-color-negro_black" xr:uid="{033D024F-5730-47C4-874B-ECB66F89141C}"/>
    <hyperlink ref="B7" r:id="rId2" display="https://forli.es/evolution/341-3073-HOUSTONAZ.html%23/27-talla-35/43-color-azul" xr:uid="{858BBD1E-D345-46A6-92CA-9AB4945BA328}"/>
    <hyperlink ref="B8" r:id="rId3" display="https://forli.es/evolution/372-11040-ASPEN.html%23/27-talla-35/41-color-gris" xr:uid="{738E61CE-5784-446F-8037-E0AF0BAEAC56}"/>
    <hyperlink ref="B9" r:id="rId4" display="https://forli.es/evolution/373-11054-TEXAS.html%23/27-talla-35/41-color-gris" xr:uid="{5351D095-EC44-4FED-B379-D661E1EDA8BC}"/>
    <hyperlink ref="B10" r:id="rId5" display="https://forli.es/soft/409-11431-HARLEM.html%23/27-talla-35/58-color-rojo" xr:uid="{A785ED48-28C5-40C8-B534-F77CD49B1DFF}"/>
    <hyperlink ref="B11" r:id="rId6" display="https://forli.es/soft/405-11376-BRONX.html%23/27-talla-35/42-color-negro_black" xr:uid="{22809B8A-A3AB-4BF4-A1EC-5AB64263AB4D}"/>
    <hyperlink ref="B12" r:id="rId7" display="https://forli.es/soft/407-11404-SIDNEY.html%23/27-talla-35/42-color-negro_black" xr:uid="{6E23F03D-4A6C-4D30-9D6C-740AA72E1AFF}"/>
    <hyperlink ref="B13" r:id="rId8" display="https://forli.es/flex-esd/272-2223-NEVADA.html%23/27-talla-35/42-color-negro_black" xr:uid="{25FECB11-1072-40B3-AF05-B6CE8CF69302}"/>
    <hyperlink ref="B14" r:id="rId9" display="https://forli.es/flex-esd/283-2365-FLORIDA.html%23/26-talla-34/42-color-negro_black" xr:uid="{524A7BF6-9741-45C5-B734-2F8B796512E3}"/>
    <hyperlink ref="B15" r:id="rId10" display="https://forli.es/calzado-de-seguridad-ocupacional/265-2131-ALASKA.html%23/27-talla-35/42-color-negro_black" xr:uid="{AB6BD2EE-6F5C-45E9-8D21-9B45944DD608}"/>
    <hyperlink ref="B16" r:id="rId11" display="https://forli.es/flex-esd/273-2237-DENVER.html%23/27-talla-35/42-color-negro_black" xr:uid="{E9DAB02D-EF3B-4D68-8456-4D27C0349CA6}"/>
    <hyperlink ref="B17" r:id="rId12" display="https://forli.es/flex-esd/285-2387-CHEROKEE.html%23/27-talla-35/50-color-camel" xr:uid="{B1103AE0-249B-4388-94D7-BFB23605ACB2}"/>
    <hyperlink ref="B18" r:id="rId13" display="https://forli.es/flex-esd/285-2387-CHEROKEE.html%23/27-talla-35/50-color-camel" xr:uid="{4D8A93A3-31D3-478D-A78C-69B2CBEADC2C}"/>
    <hyperlink ref="B19" r:id="rId14" display="https://forli.es/flex-esd/285-2387-CHEROKEE.html%23/27-talla-35/50-color-camel" xr:uid="{AC66E354-92D8-4ED4-A5AE-DAC4778696CB}"/>
    <hyperlink ref="B22" r:id="rId15" display="https://forli.es/neo-sanitario/343-3101-VEGAS.html%23/27-talla-35/42-color-negro_black" xr:uid="{6E3E65D1-5B7B-4B4F-AEB0-C66FFA054B99}"/>
    <hyperlink ref="B23" r:id="rId16" display="https://forli.es/neo-sanitario/344-3115-DOVERBL.html%23/27-talla-35/48-color-blanco" xr:uid="{DD48EAD6-A363-4E0A-AB0E-9BD41B38C5CE}"/>
    <hyperlink ref="B24" r:id="rId17" display="https://forli.es/neo-sanitario/345-3129-DOVERNG.html%23/27-talla-35/42-color-negro_black" xr:uid="{B125AC44-792C-41BB-8057-C99A5B2136B6}"/>
    <hyperlink ref="B25" r:id="rId18" display="https://forli.es/neo-sanitario/374-11068-DELTA.html%23/27-talla-35/48-color-blanco" xr:uid="{ADC43980-3BCF-4448-9143-2D78999E8E78}"/>
    <hyperlink ref="B26" r:id="rId19" display="https://forli.es/neo-sanitario/375-11082-TUCSON.html%23/27-talla-35/42-color-negro_black" xr:uid="{0A6C70F4-032F-4304-8CBD-105013DA8AF1}"/>
    <hyperlink ref="B27" r:id="rId20" display="https://forli.es/rider/286-2401-SIOUX.html%23/27-talla-35/42-color-negro_black" xr:uid="{BD396240-5D5E-4BA0-8791-B4ECBA6105BE}"/>
    <hyperlink ref="B28" r:id="rId21" display="https://forli.es/rider/284-2373-ROCK.html%23/27-talla-35/42-color-negro_black" xr:uid="{29CA6268-A5C6-4A94-A85A-359AFC7FEC45}"/>
    <hyperlink ref="B29" r:id="rId22" display="https://forli.es/rider/403-11348-MEMPHIS.html%23/27-talla-35/42-color-negro_black" xr:uid="{94584C0D-EF81-44B2-9411-E3FE295B1694}"/>
    <hyperlink ref="B30" r:id="rId23" display="https://forli.es/calzado-de-seguridad-ocupacional/371-11026-indiana.html%23/27-talla-35/42-color-negro_black" xr:uid="{B7120F3C-0A3E-4C06-8422-B7A275B84E97}"/>
    <hyperlink ref="B31" r:id="rId24" display="https://forli.es/trekking/342-3087-COLORADO.html%23/27-talla-35/42-color-negro_black" xr:uid="{03DDA939-9CF3-429A-85FE-4689565DF7D7}"/>
    <hyperlink ref="B32" r:id="rId25" display="https://forli.es/trekking/346-3143-COLUMBIA.html%23/27-talla-35/42-color-negro_black" xr:uid="{D7444E73-1471-41F2-A8BA-7FC908FD3B28}"/>
    <hyperlink ref="B33" r:id="rId26" display="https://forli.es/trekking/347-3157-SAVANAH.html%23/27-talla-35/42-color-negro_black" xr:uid="{891EAEF1-6506-48A6-AEC5-91E6B74EF968}"/>
    <hyperlink ref="B34" r:id="rId27" display="https://forli.es/calzado-de-seguridad-ocupacional/337-3017-FRESNO.html%23/27-talla-35/48-color-blanco" xr:uid="{DCDBE7ED-E528-4EC3-ACC5-756E8684CF16}"/>
    <hyperlink ref="B35" r:id="rId28" display="https://forli.es/white-metal-free/338-3031-RENO.html%23/27-talla-35/48-color-blanco" xr:uid="{F4145F78-7857-4D19-9422-61F8CC56757A}"/>
    <hyperlink ref="B36" r:id="rId29" display="https://forli.es/white-metal-free/339-3045-FARGO.html%23/27-talla-35/48-color-blanco" xr:uid="{394D6CEC-9611-4859-A653-15B471226F20}"/>
    <hyperlink ref="B37" r:id="rId30" display="https://forli.es/white-metal-free/362-10910-YORKBL.html%23/27-talla-35/48-color-blanco" xr:uid="{D226705E-33C4-459B-BB75-524D81E7377B}"/>
    <hyperlink ref="B38" r:id="rId31" display="https://forli.es/white-metal-free/363-10924-YORKNG.html%23/27-talla-35/42-color-negro_black" xr:uid="{C6803D2D-6C8C-427E-AEA8-E4D8A6FA02B8}"/>
    <hyperlink ref="B39" r:id="rId32" display="https://forli.es/white-metal-free/364-10938-PHILADELPHIA.html%23/27-talla-35/48-color-blanco" xr:uid="{9F3705C2-04AF-4E3B-945C-8D0EA1BB6D70}"/>
    <hyperlink ref="B40" r:id="rId33" display="https://forli.es/white-metal-free/364-10938-PHILADELPHIA.html%23/27-talla-35/48-color-blanco" xr:uid="{7AA23D4F-1A15-42F9-94DB-AB78CF7F16DF}"/>
    <hyperlink ref="B41" r:id="rId34" display="https://forli.es/medium-metal-free/266-2145-ATLANTA.html%23/27-talla-35/42-color-negro_black" xr:uid="{8D560D79-8CFF-443F-B4A2-53596E640F4C}"/>
    <hyperlink ref="B42" r:id="rId35" display="https://forli.es/medium-metal-free/276-2275-MIAMI.html%23/27-talla-35/42-color-negro_black" xr:uid="{29D05DD6-6D5A-46A6-A32E-2F9785A8A6C6}"/>
    <hyperlink ref="B43" r:id="rId36" display="https://forli.es/medium-metal-free/270-2201-VIRGINIA.html%23/27-talla-35/42-color-negro_black" xr:uid="{2543BFC1-731B-4292-8B0B-D59983329C7A}"/>
    <hyperlink ref="B44" r:id="rId37" display="https://forli.es/medium-metal-free/370-11012-OXFORD.html%23/27-talla-35/42-color-negro_black" xr:uid="{7027662C-CB27-48C1-8709-D328FE917DC5}"/>
    <hyperlink ref="B46" r:id="rId38" display="https://forli.es/hydro/412-11473-BALTIMORE.html%23/28-talla-36/48-color-blanco" xr:uid="{31F2C345-B05A-4A80-BC3B-D72A924658A2}"/>
    <hyperlink ref="B47" r:id="rId39" display="https://forli.es/hydro/408-11418-CLEVELAND.html%23/28-talla-36/57-color-verde_oscuro" xr:uid="{B1C079CA-6D2C-4C6A-A180-A6952A49EE7A}"/>
    <hyperlink ref="B48" r:id="rId40" display="https://forli.es/basic-steel/267-2159-BOSTON.html%23/27-talla-35/42-color-negro_black" xr:uid="{CE3AE448-55CC-4F08-88EF-374A1C0BC871}"/>
    <hyperlink ref="B49" r:id="rId41" display="https://forli.es/basic-steel/269-2187-CHICAGO.html%23/27-talla-35/42-color-negro_black" xr:uid="{EF627404-2494-4044-A732-83A1FBA50932}"/>
    <hyperlink ref="B50" r:id="rId42" display="https://forli.es/basic-steel/277-2289-DETROIT.html%23/28-talla-36/42-color-negro_black" xr:uid="{DCCAE8B8-7A19-460A-A9E4-08992F0C72EC}"/>
    <hyperlink ref="B51" r:id="rId43" display="https://forli.es/basic-steel/278-2301-KANSAS.html%23/27-talla-35/41-color-gris" xr:uid="{6CC51038-EFBB-4752-BDDC-077BDB5A0C3D}"/>
    <hyperlink ref="B52" r:id="rId44" display="https://forli.es/basic-steel/291-2471-AUSTIN.html%23/27-talla-35/41-color-gris" xr:uid="{74495653-1784-4B83-95D4-F32B0172D47D}"/>
    <hyperlink ref="B53" r:id="rId45" display="https://forli.es/basic-metal-free/280-2329-PORTLAND.html%23/27-talla-35/42-color-negro_black" xr:uid="{DA94FBDF-9ED3-4210-9EF3-4550C75E7DE6}"/>
    <hyperlink ref="B54" r:id="rId46" display="https://forli.es/s3/281-2343-MICHIGAN.html%23/27-talla-35/42-color-negro_black" xr:uid="{27838748-71F0-480F-8CB9-859FAE03AA20}"/>
    <hyperlink ref="B55" r:id="rId47" display="https://forli.es/basic-metal-free/367-10970-OREGON.html%23/27-talla-35/42-color-negro_black" xr:uid="{F00B4497-5991-40C4-BAA2-37F477E1FEF5}"/>
    <hyperlink ref="B56" r:id="rId48" display="https://forli.es/basic-metal-free/268-2173-BUFFALO.html%23/27-talla-35/42-color-negro_black" xr:uid="{2615F6F8-40E5-4026-9B21-DA7723474E4B}"/>
  </hyperlinks>
  <pageMargins left="0.7" right="0.7" top="0.75" bottom="0.75" header="0.3" footer="0.3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2023-10-17T10:05:07Z</dcterms:created>
  <dcterms:modified xsi:type="dcterms:W3CDTF">2026-05-11T10:59:34Z</dcterms:modified>
</cp:coreProperties>
</file>